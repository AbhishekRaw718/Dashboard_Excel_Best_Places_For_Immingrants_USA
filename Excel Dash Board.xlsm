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C:\Users\varun\Downloads\"/>
    </mc:Choice>
  </mc:AlternateContent>
  <xr:revisionPtr revIDLastSave="0" documentId="13_ncr:1_{12879BF9-A078-4426-91FE-3D2671BFFC8F}" xr6:coauthVersionLast="47" xr6:coauthVersionMax="47" xr10:uidLastSave="{00000000-0000-0000-0000-000000000000}"/>
  <bookViews>
    <workbookView xWindow="-108" yWindow="-108" windowWidth="23256" windowHeight="12456" tabRatio="731" activeTab="9" xr2:uid="{62AC2CC1-2504-4CB4-A497-87025DEE9A9E}"/>
  </bookViews>
  <sheets>
    <sheet name="Dataset" sheetId="1" r:id="rId1"/>
    <sheet name="Normalized Dataset" sheetId="11" r:id="rId2"/>
    <sheet name="Weighted Scores" sheetId="13" r:id="rId3"/>
    <sheet name="City Dashboard" sheetId="9" r:id="rId4"/>
    <sheet name="Sheet2" sheetId="15" state="hidden" r:id="rId5"/>
    <sheet name="Sheet1" sheetId="6" state="hidden" r:id="rId6"/>
    <sheet name="Sheet3" sheetId="8" state="hidden" r:id="rId7"/>
    <sheet name="GraphPivotData" sheetId="5" r:id="rId8"/>
    <sheet name="TaxPivotData" sheetId="7" r:id="rId9"/>
    <sheet name="Information" sheetId="3" r:id="rId10"/>
    <sheet name="top 5 Data" sheetId="14" state="hidden" r:id="rId11"/>
    <sheet name="Macros" sheetId="10" state="hidden" r:id="rId12"/>
    <sheet name="Dashboard" sheetId="4" state="hidden" r:id="rId13"/>
  </sheets>
  <externalReferences>
    <externalReference r:id="rId14"/>
  </externalReferences>
  <definedNames>
    <definedName name="CityDropdown">Dashboard!$E$2</definedName>
    <definedName name="DataRange_Atlanta" localSheetId="1">'Normalized Dataset'!$A$12:$H$12</definedName>
    <definedName name="DataRange_Atlanta" localSheetId="2">'Weighted Scores'!$A$12:$H$12</definedName>
    <definedName name="DataRange_Boston" localSheetId="1">'Normalized Dataset'!$A$8:$G$8</definedName>
    <definedName name="DataRange_Boston" localSheetId="2">'Weighted Scores'!$A$8:$G$8</definedName>
    <definedName name="DataRange_Chicago" localSheetId="1">'Normalized Dataset'!$A$4:$G$4</definedName>
    <definedName name="DataRange_Chicago" localSheetId="2">'Weighted Scores'!$A$4:$G$4</definedName>
    <definedName name="DataRange_Cincinnati" localSheetId="1">'Normalized Dataset'!$A$24:$H$24</definedName>
    <definedName name="DataRange_Cincinnati" localSheetId="2">'Weighted Scores'!$A$24:$H$24</definedName>
    <definedName name="DataRange_Cleveland" localSheetId="1">'Normalized Dataset'!$A$17:$H$17</definedName>
    <definedName name="DataRange_Cleveland" localSheetId="2">'Weighted Scores'!$A$17:$H$17</definedName>
    <definedName name="DataRange_Denver" localSheetId="1">'Normalized Dataset'!$A$20:$H$20</definedName>
    <definedName name="DataRange_Denver" localSheetId="2">'Weighted Scores'!$A$20:$H$20</definedName>
    <definedName name="DataRange_Detroit" localSheetId="1">'Normalized Dataset'!$A$9:$G$9</definedName>
    <definedName name="DataRange_Detroit" localSheetId="2">'Weighted Scores'!$A$9:$G$9</definedName>
    <definedName name="DataRange_Houston" localSheetId="1">'Normalized Dataset'!$A$11:$H$11</definedName>
    <definedName name="DataRange_Houston" localSheetId="2">'Weighted Scores'!$A$11:$H$11</definedName>
    <definedName name="DataRange_Indianapolis" localSheetId="1">'Normalized Dataset'!$A$29:$H$29</definedName>
    <definedName name="DataRange_Indianapolis" localSheetId="2">'Weighted Scores'!$A$29:$H$29</definedName>
    <definedName name="DataRange_Kansas_City" localSheetId="1">'Normalized Dataset'!$A$26:$H$26</definedName>
    <definedName name="DataRange_Kansas_City" localSheetId="2">'Weighted Scores'!$A$26:$H$26</definedName>
    <definedName name="DataRange_Los_Angeles" localSheetId="1">'Normalized Dataset'!$A$3:$G$3</definedName>
    <definedName name="DataRange_Los_Angeles" localSheetId="2">'Weighted Scores'!$A$3:$G$3</definedName>
    <definedName name="DataRange_Milwaukee" localSheetId="1">'Normalized Dataset'!$A$27:$H$27</definedName>
    <definedName name="DataRange_Milwaukee" localSheetId="2">'Weighted Scores'!$A$27:$H$27</definedName>
    <definedName name="DataRange_New_York" localSheetId="1">'Normalized Dataset'!$A$2:$G$2</definedName>
    <definedName name="DataRange_New_York" localSheetId="2">'Weighted Scores'!$A$2:$G$2</definedName>
    <definedName name="DataRange_Orlando" localSheetId="1">'Normalized Dataset'!$A$28:$H$28</definedName>
    <definedName name="DataRange_Orlando" localSheetId="2">'Weighted Scores'!$A$28:$H$28</definedName>
    <definedName name="DataRange_Philadelphia" localSheetId="1">'Normalized Dataset'!$A$7:$G$7</definedName>
    <definedName name="DataRange_Philadelphia" localSheetId="2">'Weighted Scores'!$A$7:$G$7</definedName>
    <definedName name="DataRange_Phoenix" localSheetId="1">'Normalized Dataset'!$A$15:$H$15</definedName>
    <definedName name="DataRange_Phoenix" localSheetId="2">'Weighted Scores'!$A$15:$H$15</definedName>
    <definedName name="DataRange_Pittsburgh" localSheetId="1">'Normalized Dataset'!$A$22:$H$22</definedName>
    <definedName name="DataRange_Pittsburgh" localSheetId="2">'Weighted Scores'!$A$22:$H$22</definedName>
    <definedName name="DataRange_Sacramento" localSheetId="1">'Normalized Dataset'!$A$25:$H$25</definedName>
    <definedName name="DataRange_Sacramento" localSheetId="2">'Weighted Scores'!$A$25:$H$25</definedName>
    <definedName name="DataRange_San_Antonio" localSheetId="1">'Normalized Dataset'!$A$30:$H$30</definedName>
    <definedName name="DataRange_San_Antonio" localSheetId="2">'Weighted Scores'!$A$30:$H$30</definedName>
    <definedName name="DataRange_San_Diego" localSheetId="1">'Normalized Dataset'!$A$18:$H$18</definedName>
    <definedName name="DataRange_San_Diego" localSheetId="2">'Weighted Scores'!$A$18:$H$18</definedName>
    <definedName name="DataRange_San_Francisco" localSheetId="1">'Normalized Dataset'!$A$6:$G$6</definedName>
    <definedName name="DataRange_San_Francisco" localSheetId="2">'Weighted Scores'!$A$6:$G$6</definedName>
    <definedName name="DataRange_St._Louis" localSheetId="1">'Normalized Dataset'!$A$19:$H$19</definedName>
    <definedName name="DataRange_St._Louis" localSheetId="2">'Weighted Scores'!$A$19:$H$19</definedName>
    <definedName name="DataRange_Washington" localSheetId="1">'Normalized Dataset'!$A$5:$G$5</definedName>
    <definedName name="DataRange_Washington" localSheetId="2">'Weighted Scores'!$A$5:$G$5</definedName>
    <definedName name="Slicer_Metropolitan_Area2">#N/A</definedName>
    <definedName name="Slicer_Metropolitan_Area3">#N/A</definedName>
  </definedNames>
  <calcPr calcId="191029"/>
  <pivotCaches>
    <pivotCache cacheId="0" r:id="rId15"/>
    <pivotCache cacheId="1"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38" i="9" l="1"/>
  <c r="AC49" i="9"/>
  <c r="V10" i="9"/>
  <c r="V22" i="9"/>
  <c r="V19" i="9"/>
  <c r="V16" i="9"/>
  <c r="V13" i="9"/>
  <c r="AK27" i="9" l="1"/>
  <c r="AH27" i="9"/>
  <c r="AE27" i="9"/>
  <c r="AB27" i="9"/>
  <c r="Y27" i="9"/>
  <c r="G15" i="7"/>
  <c r="G14" i="7"/>
  <c r="G13" i="7"/>
  <c r="G12" i="7"/>
  <c r="G11" i="7"/>
  <c r="G10" i="7"/>
  <c r="G6" i="14"/>
  <c r="H6" i="14" s="1"/>
  <c r="E6" i="14"/>
  <c r="F6" i="14" s="1"/>
  <c r="C6" i="14"/>
  <c r="B6" i="14"/>
  <c r="A6" i="14"/>
  <c r="G5" i="14"/>
  <c r="H5" i="14" s="1"/>
  <c r="E5" i="14"/>
  <c r="F5" i="14" s="1"/>
  <c r="C5" i="14"/>
  <c r="B5" i="14"/>
  <c r="A5" i="14"/>
  <c r="G4" i="14"/>
  <c r="H4" i="14" s="1"/>
  <c r="E4" i="14"/>
  <c r="F4" i="14" s="1"/>
  <c r="C4" i="14"/>
  <c r="B4" i="14"/>
  <c r="A4" i="14"/>
  <c r="G3" i="14"/>
  <c r="H3" i="14" s="1"/>
  <c r="E3" i="14"/>
  <c r="F3" i="14" s="1"/>
  <c r="C3" i="14"/>
  <c r="B3" i="14"/>
  <c r="A3" i="14"/>
  <c r="G2" i="14"/>
  <c r="H2" i="14" s="1"/>
  <c r="E2" i="14"/>
  <c r="F2" i="14" s="1"/>
  <c r="C2" i="14"/>
  <c r="B2" i="14"/>
  <c r="A2" i="14"/>
  <c r="S15" i="13"/>
  <c r="Q2" i="13" a="1"/>
  <c r="Q2" i="13" s="1"/>
  <c r="N31" i="11"/>
  <c r="N31" i="13" s="1"/>
  <c r="M31" i="11"/>
  <c r="M31" i="13" s="1"/>
  <c r="L31" i="11"/>
  <c r="L31" i="13" s="1"/>
  <c r="K31" i="11"/>
  <c r="K31" i="13" s="1"/>
  <c r="J31" i="11"/>
  <c r="J31" i="13" s="1"/>
  <c r="I31" i="11"/>
  <c r="I31" i="13" s="1"/>
  <c r="H31" i="11"/>
  <c r="H31" i="13" s="1"/>
  <c r="G31" i="11"/>
  <c r="G31" i="13" s="1"/>
  <c r="F31" i="11"/>
  <c r="F31" i="13" s="1"/>
  <c r="E31" i="11"/>
  <c r="E31" i="13" s="1"/>
  <c r="D31" i="11"/>
  <c r="C31" i="11"/>
  <c r="B31" i="11"/>
  <c r="B31" i="13" s="1"/>
  <c r="N30" i="11"/>
  <c r="N30" i="13" s="1"/>
  <c r="M30" i="11"/>
  <c r="M30" i="13" s="1"/>
  <c r="L30" i="11"/>
  <c r="L30" i="13" s="1"/>
  <c r="K30" i="11"/>
  <c r="K30" i="13" s="1"/>
  <c r="J30" i="11"/>
  <c r="J30" i="13" s="1"/>
  <c r="I30" i="11"/>
  <c r="I30" i="13" s="1"/>
  <c r="H30" i="11"/>
  <c r="H30" i="13" s="1"/>
  <c r="G30" i="11"/>
  <c r="G30" i="13" s="1"/>
  <c r="F30" i="11"/>
  <c r="F30" i="13" s="1"/>
  <c r="E30" i="11"/>
  <c r="E30" i="13" s="1"/>
  <c r="D30" i="11"/>
  <c r="C30" i="11"/>
  <c r="B30" i="11"/>
  <c r="B30" i="13" s="1"/>
  <c r="N29" i="11"/>
  <c r="N29" i="13" s="1"/>
  <c r="M29" i="11"/>
  <c r="M29" i="13" s="1"/>
  <c r="L29" i="11"/>
  <c r="L29" i="13" s="1"/>
  <c r="K29" i="11"/>
  <c r="K29" i="13" s="1"/>
  <c r="J29" i="11"/>
  <c r="J29" i="13" s="1"/>
  <c r="I29" i="11"/>
  <c r="I29" i="13" s="1"/>
  <c r="H29" i="11"/>
  <c r="H29" i="13" s="1"/>
  <c r="G29" i="11"/>
  <c r="G29" i="13" s="1"/>
  <c r="F29" i="11"/>
  <c r="F29" i="13" s="1"/>
  <c r="E29" i="11"/>
  <c r="E29" i="13" s="1"/>
  <c r="D29" i="11"/>
  <c r="C29" i="11"/>
  <c r="B29" i="11"/>
  <c r="B29" i="13" s="1"/>
  <c r="N28" i="11"/>
  <c r="N28" i="13" s="1"/>
  <c r="M28" i="11"/>
  <c r="M28" i="13" s="1"/>
  <c r="L28" i="11"/>
  <c r="L28" i="13" s="1"/>
  <c r="K28" i="11"/>
  <c r="K28" i="13" s="1"/>
  <c r="J28" i="11"/>
  <c r="J28" i="13" s="1"/>
  <c r="I28" i="11"/>
  <c r="I28" i="13" s="1"/>
  <c r="H28" i="11"/>
  <c r="H28" i="13" s="1"/>
  <c r="G28" i="11"/>
  <c r="G28" i="13" s="1"/>
  <c r="F28" i="11"/>
  <c r="F28" i="13" s="1"/>
  <c r="E28" i="11"/>
  <c r="E28" i="13" s="1"/>
  <c r="D28" i="11"/>
  <c r="C28" i="11"/>
  <c r="B28" i="11"/>
  <c r="B28" i="13" s="1"/>
  <c r="N27" i="11"/>
  <c r="N27" i="13" s="1"/>
  <c r="M27" i="11"/>
  <c r="M27" i="13" s="1"/>
  <c r="L27" i="11"/>
  <c r="L27" i="13" s="1"/>
  <c r="K27" i="11"/>
  <c r="K27" i="13" s="1"/>
  <c r="J27" i="11"/>
  <c r="J27" i="13" s="1"/>
  <c r="I27" i="11"/>
  <c r="I27" i="13" s="1"/>
  <c r="H27" i="11"/>
  <c r="H27" i="13" s="1"/>
  <c r="G27" i="11"/>
  <c r="G27" i="13" s="1"/>
  <c r="F27" i="11"/>
  <c r="F27" i="13" s="1"/>
  <c r="E27" i="11"/>
  <c r="E27" i="13" s="1"/>
  <c r="D27" i="11"/>
  <c r="C27" i="11"/>
  <c r="B27" i="11"/>
  <c r="B27" i="13" s="1"/>
  <c r="N26" i="11"/>
  <c r="N26" i="13" s="1"/>
  <c r="M26" i="11"/>
  <c r="M26" i="13" s="1"/>
  <c r="L26" i="11"/>
  <c r="L26" i="13" s="1"/>
  <c r="K26" i="11"/>
  <c r="K26" i="13" s="1"/>
  <c r="J26" i="11"/>
  <c r="J26" i="13" s="1"/>
  <c r="I26" i="11"/>
  <c r="I26" i="13" s="1"/>
  <c r="H26" i="11"/>
  <c r="H26" i="13" s="1"/>
  <c r="G26" i="11"/>
  <c r="G26" i="13" s="1"/>
  <c r="F26" i="11"/>
  <c r="F26" i="13" s="1"/>
  <c r="E26" i="11"/>
  <c r="E26" i="13" s="1"/>
  <c r="D26" i="11"/>
  <c r="C26" i="11"/>
  <c r="B26" i="11"/>
  <c r="B26" i="13" s="1"/>
  <c r="N25" i="11"/>
  <c r="N25" i="13" s="1"/>
  <c r="M25" i="11"/>
  <c r="M25" i="13" s="1"/>
  <c r="L25" i="11"/>
  <c r="L25" i="13" s="1"/>
  <c r="K25" i="11"/>
  <c r="K25" i="13" s="1"/>
  <c r="J25" i="11"/>
  <c r="J25" i="13" s="1"/>
  <c r="I25" i="11"/>
  <c r="I25" i="13" s="1"/>
  <c r="H25" i="11"/>
  <c r="H25" i="13" s="1"/>
  <c r="G25" i="11"/>
  <c r="G25" i="13" s="1"/>
  <c r="F25" i="11"/>
  <c r="F25" i="13" s="1"/>
  <c r="E25" i="11"/>
  <c r="E25" i="13" s="1"/>
  <c r="D25" i="11"/>
  <c r="C25" i="11"/>
  <c r="B25" i="11"/>
  <c r="B25" i="13" s="1"/>
  <c r="N24" i="11"/>
  <c r="N24" i="13" s="1"/>
  <c r="M24" i="11"/>
  <c r="M24" i="13" s="1"/>
  <c r="L24" i="11"/>
  <c r="L24" i="13" s="1"/>
  <c r="K24" i="11"/>
  <c r="K24" i="13" s="1"/>
  <c r="J24" i="11"/>
  <c r="J24" i="13" s="1"/>
  <c r="I24" i="11"/>
  <c r="I24" i="13" s="1"/>
  <c r="H24" i="11"/>
  <c r="H24" i="13" s="1"/>
  <c r="G24" i="11"/>
  <c r="G24" i="13" s="1"/>
  <c r="F24" i="11"/>
  <c r="F24" i="13" s="1"/>
  <c r="E24" i="11"/>
  <c r="E24" i="13" s="1"/>
  <c r="D24" i="11"/>
  <c r="C24" i="11"/>
  <c r="B24" i="11"/>
  <c r="B24" i="13" s="1"/>
  <c r="N23" i="11"/>
  <c r="N23" i="13" s="1"/>
  <c r="M23" i="11"/>
  <c r="M23" i="13" s="1"/>
  <c r="L23" i="11"/>
  <c r="L23" i="13" s="1"/>
  <c r="K23" i="11"/>
  <c r="K23" i="13" s="1"/>
  <c r="J23" i="11"/>
  <c r="J23" i="13" s="1"/>
  <c r="I23" i="11"/>
  <c r="I23" i="13" s="1"/>
  <c r="H23" i="11"/>
  <c r="H23" i="13" s="1"/>
  <c r="G23" i="11"/>
  <c r="G23" i="13" s="1"/>
  <c r="F23" i="11"/>
  <c r="F23" i="13" s="1"/>
  <c r="E23" i="11"/>
  <c r="E23" i="13" s="1"/>
  <c r="D23" i="11"/>
  <c r="C23" i="11"/>
  <c r="B23" i="11"/>
  <c r="B23" i="13" s="1"/>
  <c r="N22" i="11"/>
  <c r="N22" i="13" s="1"/>
  <c r="M22" i="11"/>
  <c r="M22" i="13" s="1"/>
  <c r="L22" i="11"/>
  <c r="L22" i="13" s="1"/>
  <c r="K22" i="11"/>
  <c r="K22" i="13" s="1"/>
  <c r="J22" i="11"/>
  <c r="J22" i="13" s="1"/>
  <c r="I22" i="11"/>
  <c r="I22" i="13" s="1"/>
  <c r="H22" i="11"/>
  <c r="H22" i="13" s="1"/>
  <c r="G22" i="11"/>
  <c r="G22" i="13" s="1"/>
  <c r="F22" i="11"/>
  <c r="F22" i="13" s="1"/>
  <c r="E22" i="11"/>
  <c r="E22" i="13" s="1"/>
  <c r="D22" i="11"/>
  <c r="C22" i="11"/>
  <c r="B22" i="11"/>
  <c r="B22" i="13" s="1"/>
  <c r="N21" i="11"/>
  <c r="N21" i="13" s="1"/>
  <c r="M21" i="11"/>
  <c r="M21" i="13" s="1"/>
  <c r="L21" i="11"/>
  <c r="L21" i="13" s="1"/>
  <c r="K21" i="11"/>
  <c r="K21" i="13" s="1"/>
  <c r="J21" i="11"/>
  <c r="J21" i="13" s="1"/>
  <c r="I21" i="11"/>
  <c r="I21" i="13" s="1"/>
  <c r="H21" i="11"/>
  <c r="H21" i="13" s="1"/>
  <c r="G21" i="11"/>
  <c r="G21" i="13" s="1"/>
  <c r="F21" i="11"/>
  <c r="F21" i="13" s="1"/>
  <c r="E21" i="11"/>
  <c r="E21" i="13" s="1"/>
  <c r="D21" i="11"/>
  <c r="C21" i="11"/>
  <c r="B21" i="11"/>
  <c r="B21" i="13" s="1"/>
  <c r="N20" i="11"/>
  <c r="N20" i="13" s="1"/>
  <c r="M20" i="11"/>
  <c r="M20" i="13" s="1"/>
  <c r="L20" i="11"/>
  <c r="L20" i="13" s="1"/>
  <c r="K20" i="11"/>
  <c r="K20" i="13" s="1"/>
  <c r="J20" i="11"/>
  <c r="J20" i="13" s="1"/>
  <c r="I20" i="11"/>
  <c r="I20" i="13" s="1"/>
  <c r="H20" i="11"/>
  <c r="H20" i="13" s="1"/>
  <c r="G20" i="11"/>
  <c r="G20" i="13" s="1"/>
  <c r="F20" i="11"/>
  <c r="F20" i="13" s="1"/>
  <c r="E20" i="11"/>
  <c r="E20" i="13" s="1"/>
  <c r="D20" i="11"/>
  <c r="C20" i="11"/>
  <c r="B20" i="11"/>
  <c r="B20" i="13" s="1"/>
  <c r="N19" i="11"/>
  <c r="N19" i="13" s="1"/>
  <c r="M19" i="11"/>
  <c r="M19" i="13" s="1"/>
  <c r="L19" i="11"/>
  <c r="L19" i="13" s="1"/>
  <c r="K19" i="11"/>
  <c r="K19" i="13" s="1"/>
  <c r="J19" i="11"/>
  <c r="J19" i="13" s="1"/>
  <c r="I19" i="11"/>
  <c r="I19" i="13" s="1"/>
  <c r="H19" i="11"/>
  <c r="H19" i="13" s="1"/>
  <c r="G19" i="11"/>
  <c r="G19" i="13" s="1"/>
  <c r="F19" i="11"/>
  <c r="F19" i="13" s="1"/>
  <c r="E19" i="11"/>
  <c r="E19" i="13" s="1"/>
  <c r="D19" i="11"/>
  <c r="C19" i="11"/>
  <c r="B19" i="11"/>
  <c r="B19" i="13" s="1"/>
  <c r="N18" i="11"/>
  <c r="N18" i="13" s="1"/>
  <c r="M18" i="11"/>
  <c r="M18" i="13" s="1"/>
  <c r="L18" i="11"/>
  <c r="L18" i="13" s="1"/>
  <c r="K18" i="11"/>
  <c r="K18" i="13" s="1"/>
  <c r="J18" i="11"/>
  <c r="J18" i="13" s="1"/>
  <c r="I18" i="11"/>
  <c r="I18" i="13" s="1"/>
  <c r="H18" i="11"/>
  <c r="H18" i="13" s="1"/>
  <c r="G18" i="11"/>
  <c r="G18" i="13" s="1"/>
  <c r="F18" i="11"/>
  <c r="F18" i="13" s="1"/>
  <c r="E18" i="11"/>
  <c r="E18" i="13" s="1"/>
  <c r="D18" i="11"/>
  <c r="C18" i="11"/>
  <c r="B18" i="11"/>
  <c r="B18" i="13" s="1"/>
  <c r="N17" i="11"/>
  <c r="N17" i="13" s="1"/>
  <c r="M17" i="11"/>
  <c r="M17" i="13" s="1"/>
  <c r="L17" i="11"/>
  <c r="L17" i="13" s="1"/>
  <c r="K17" i="11"/>
  <c r="K17" i="13" s="1"/>
  <c r="J17" i="11"/>
  <c r="J17" i="13" s="1"/>
  <c r="I17" i="11"/>
  <c r="I17" i="13" s="1"/>
  <c r="H17" i="11"/>
  <c r="H17" i="13" s="1"/>
  <c r="G17" i="11"/>
  <c r="G17" i="13" s="1"/>
  <c r="F17" i="11"/>
  <c r="F17" i="13" s="1"/>
  <c r="E17" i="11"/>
  <c r="E17" i="13" s="1"/>
  <c r="D17" i="11"/>
  <c r="C17" i="11"/>
  <c r="B17" i="11"/>
  <c r="B17" i="13" s="1"/>
  <c r="N16" i="11"/>
  <c r="N16" i="13" s="1"/>
  <c r="M16" i="11"/>
  <c r="M16" i="13" s="1"/>
  <c r="L16" i="11"/>
  <c r="L16" i="13" s="1"/>
  <c r="K16" i="11"/>
  <c r="K16" i="13" s="1"/>
  <c r="J16" i="11"/>
  <c r="J16" i="13" s="1"/>
  <c r="I16" i="11"/>
  <c r="I16" i="13" s="1"/>
  <c r="H16" i="11"/>
  <c r="H16" i="13" s="1"/>
  <c r="G16" i="11"/>
  <c r="G16" i="13" s="1"/>
  <c r="F16" i="11"/>
  <c r="F16" i="13" s="1"/>
  <c r="E16" i="11"/>
  <c r="E16" i="13" s="1"/>
  <c r="D16" i="11"/>
  <c r="C16" i="11"/>
  <c r="B16" i="11"/>
  <c r="B16" i="13" s="1"/>
  <c r="N15" i="11"/>
  <c r="N15" i="13" s="1"/>
  <c r="M15" i="11"/>
  <c r="M15" i="13" s="1"/>
  <c r="L15" i="11"/>
  <c r="L15" i="13" s="1"/>
  <c r="K15" i="11"/>
  <c r="K15" i="13" s="1"/>
  <c r="J15" i="11"/>
  <c r="J15" i="13" s="1"/>
  <c r="I15" i="11"/>
  <c r="I15" i="13" s="1"/>
  <c r="H15" i="11"/>
  <c r="H15" i="13" s="1"/>
  <c r="G15" i="11"/>
  <c r="G15" i="13" s="1"/>
  <c r="F15" i="11"/>
  <c r="F15" i="13" s="1"/>
  <c r="E15" i="11"/>
  <c r="E15" i="13" s="1"/>
  <c r="D15" i="11"/>
  <c r="C15" i="11"/>
  <c r="B15" i="11"/>
  <c r="B15" i="13" s="1"/>
  <c r="N14" i="11"/>
  <c r="N14" i="13" s="1"/>
  <c r="M14" i="11"/>
  <c r="M14" i="13" s="1"/>
  <c r="L14" i="11"/>
  <c r="L14" i="13" s="1"/>
  <c r="K14" i="11"/>
  <c r="K14" i="13" s="1"/>
  <c r="J14" i="11"/>
  <c r="J14" i="13" s="1"/>
  <c r="I14" i="11"/>
  <c r="I14" i="13" s="1"/>
  <c r="H14" i="11"/>
  <c r="H14" i="13" s="1"/>
  <c r="G14" i="11"/>
  <c r="G14" i="13" s="1"/>
  <c r="F14" i="11"/>
  <c r="F14" i="13" s="1"/>
  <c r="E14" i="11"/>
  <c r="E14" i="13" s="1"/>
  <c r="D14" i="11"/>
  <c r="C14" i="11"/>
  <c r="B14" i="11"/>
  <c r="B14" i="13" s="1"/>
  <c r="N13" i="11"/>
  <c r="N13" i="13" s="1"/>
  <c r="M13" i="11"/>
  <c r="M13" i="13" s="1"/>
  <c r="L13" i="11"/>
  <c r="L13" i="13" s="1"/>
  <c r="K13" i="11"/>
  <c r="K13" i="13" s="1"/>
  <c r="J13" i="11"/>
  <c r="J13" i="13" s="1"/>
  <c r="I13" i="11"/>
  <c r="I13" i="13" s="1"/>
  <c r="H13" i="11"/>
  <c r="H13" i="13" s="1"/>
  <c r="G13" i="11"/>
  <c r="G13" i="13" s="1"/>
  <c r="F13" i="11"/>
  <c r="F13" i="13" s="1"/>
  <c r="E13" i="11"/>
  <c r="E13" i="13" s="1"/>
  <c r="D13" i="11"/>
  <c r="C13" i="11"/>
  <c r="B13" i="11"/>
  <c r="B13" i="13" s="1"/>
  <c r="N12" i="11"/>
  <c r="N12" i="13" s="1"/>
  <c r="M12" i="11"/>
  <c r="M12" i="13" s="1"/>
  <c r="L12" i="11"/>
  <c r="L12" i="13" s="1"/>
  <c r="K12" i="11"/>
  <c r="K12" i="13" s="1"/>
  <c r="J12" i="11"/>
  <c r="J12" i="13" s="1"/>
  <c r="I12" i="11"/>
  <c r="I12" i="13" s="1"/>
  <c r="H12" i="11"/>
  <c r="H12" i="13" s="1"/>
  <c r="G12" i="11"/>
  <c r="G12" i="13" s="1"/>
  <c r="F12" i="11"/>
  <c r="F12" i="13" s="1"/>
  <c r="E12" i="11"/>
  <c r="E12" i="13" s="1"/>
  <c r="D12" i="11"/>
  <c r="C12" i="11"/>
  <c r="B12" i="11"/>
  <c r="B12" i="13" s="1"/>
  <c r="N11" i="11"/>
  <c r="N11" i="13" s="1"/>
  <c r="M11" i="11"/>
  <c r="M11" i="13" s="1"/>
  <c r="L11" i="11"/>
  <c r="L11" i="13" s="1"/>
  <c r="K11" i="11"/>
  <c r="K11" i="13" s="1"/>
  <c r="J11" i="11"/>
  <c r="J11" i="13" s="1"/>
  <c r="I11" i="11"/>
  <c r="I11" i="13" s="1"/>
  <c r="H11" i="11"/>
  <c r="H11" i="13" s="1"/>
  <c r="G11" i="11"/>
  <c r="G11" i="13" s="1"/>
  <c r="F11" i="11"/>
  <c r="F11" i="13" s="1"/>
  <c r="E11" i="11"/>
  <c r="E11" i="13" s="1"/>
  <c r="D11" i="11"/>
  <c r="C11" i="11"/>
  <c r="B11" i="11"/>
  <c r="B11" i="13" s="1"/>
  <c r="N10" i="11"/>
  <c r="N10" i="13" s="1"/>
  <c r="M10" i="11"/>
  <c r="M10" i="13" s="1"/>
  <c r="L10" i="11"/>
  <c r="L10" i="13" s="1"/>
  <c r="K10" i="11"/>
  <c r="K10" i="13" s="1"/>
  <c r="J10" i="11"/>
  <c r="J10" i="13" s="1"/>
  <c r="I10" i="11"/>
  <c r="I10" i="13" s="1"/>
  <c r="H10" i="11"/>
  <c r="H10" i="13" s="1"/>
  <c r="G10" i="11"/>
  <c r="G10" i="13" s="1"/>
  <c r="F10" i="11"/>
  <c r="F10" i="13" s="1"/>
  <c r="E10" i="11"/>
  <c r="E10" i="13" s="1"/>
  <c r="D10" i="11"/>
  <c r="C10" i="11"/>
  <c r="B10" i="11"/>
  <c r="B10" i="13" s="1"/>
  <c r="N9" i="11"/>
  <c r="N9" i="13" s="1"/>
  <c r="M9" i="11"/>
  <c r="M9" i="13" s="1"/>
  <c r="L9" i="11"/>
  <c r="L9" i="13" s="1"/>
  <c r="K9" i="11"/>
  <c r="K9" i="13" s="1"/>
  <c r="J9" i="11"/>
  <c r="J9" i="13" s="1"/>
  <c r="I9" i="11"/>
  <c r="I9" i="13" s="1"/>
  <c r="H9" i="11"/>
  <c r="H9" i="13" s="1"/>
  <c r="G9" i="11"/>
  <c r="G9" i="13" s="1"/>
  <c r="F9" i="11"/>
  <c r="F9" i="13" s="1"/>
  <c r="E9" i="11"/>
  <c r="E9" i="13" s="1"/>
  <c r="D9" i="11"/>
  <c r="C9" i="11"/>
  <c r="B9" i="11"/>
  <c r="B9" i="13" s="1"/>
  <c r="N8" i="11"/>
  <c r="N8" i="13" s="1"/>
  <c r="M8" i="11"/>
  <c r="M8" i="13" s="1"/>
  <c r="L8" i="11"/>
  <c r="L8" i="13" s="1"/>
  <c r="K8" i="11"/>
  <c r="K8" i="13" s="1"/>
  <c r="J8" i="11"/>
  <c r="J8" i="13" s="1"/>
  <c r="I8" i="11"/>
  <c r="I8" i="13" s="1"/>
  <c r="H8" i="11"/>
  <c r="H8" i="13" s="1"/>
  <c r="G8" i="11"/>
  <c r="G8" i="13" s="1"/>
  <c r="F8" i="11"/>
  <c r="F8" i="13" s="1"/>
  <c r="E8" i="11"/>
  <c r="E8" i="13" s="1"/>
  <c r="D8" i="11"/>
  <c r="C8" i="11"/>
  <c r="B8" i="11"/>
  <c r="B8" i="13" s="1"/>
  <c r="N7" i="11"/>
  <c r="N7" i="13" s="1"/>
  <c r="M7" i="11"/>
  <c r="M7" i="13" s="1"/>
  <c r="L7" i="11"/>
  <c r="L7" i="13" s="1"/>
  <c r="K7" i="11"/>
  <c r="K7" i="13" s="1"/>
  <c r="J7" i="11"/>
  <c r="J7" i="13" s="1"/>
  <c r="I7" i="11"/>
  <c r="I7" i="13" s="1"/>
  <c r="H7" i="11"/>
  <c r="H7" i="13" s="1"/>
  <c r="G7" i="11"/>
  <c r="G7" i="13" s="1"/>
  <c r="F7" i="11"/>
  <c r="F7" i="13" s="1"/>
  <c r="E7" i="11"/>
  <c r="E7" i="13" s="1"/>
  <c r="D7" i="11"/>
  <c r="C7" i="11"/>
  <c r="B7" i="11"/>
  <c r="B7" i="13" s="1"/>
  <c r="N6" i="11"/>
  <c r="N6" i="13" s="1"/>
  <c r="M6" i="11"/>
  <c r="M6" i="13" s="1"/>
  <c r="L6" i="11"/>
  <c r="L6" i="13" s="1"/>
  <c r="K6" i="11"/>
  <c r="K6" i="13" s="1"/>
  <c r="J6" i="11"/>
  <c r="J6" i="13" s="1"/>
  <c r="I6" i="11"/>
  <c r="I6" i="13" s="1"/>
  <c r="H6" i="11"/>
  <c r="H6" i="13" s="1"/>
  <c r="G6" i="11"/>
  <c r="G6" i="13" s="1"/>
  <c r="F6" i="11"/>
  <c r="F6" i="13" s="1"/>
  <c r="E6" i="11"/>
  <c r="E6" i="13" s="1"/>
  <c r="D6" i="11"/>
  <c r="C6" i="11"/>
  <c r="B6" i="11"/>
  <c r="B6" i="13" s="1"/>
  <c r="N5" i="11"/>
  <c r="N5" i="13" s="1"/>
  <c r="M5" i="11"/>
  <c r="M5" i="13" s="1"/>
  <c r="L5" i="11"/>
  <c r="L5" i="13" s="1"/>
  <c r="K5" i="11"/>
  <c r="K5" i="13" s="1"/>
  <c r="J5" i="11"/>
  <c r="J5" i="13" s="1"/>
  <c r="I5" i="11"/>
  <c r="I5" i="13" s="1"/>
  <c r="H5" i="11"/>
  <c r="H5" i="13" s="1"/>
  <c r="G5" i="11"/>
  <c r="G5" i="13" s="1"/>
  <c r="F5" i="11"/>
  <c r="F5" i="13" s="1"/>
  <c r="E5" i="11"/>
  <c r="E5" i="13" s="1"/>
  <c r="D5" i="11"/>
  <c r="C5" i="11"/>
  <c r="B5" i="11"/>
  <c r="B5" i="13" s="1"/>
  <c r="N4" i="11"/>
  <c r="N4" i="13" s="1"/>
  <c r="M4" i="11"/>
  <c r="M4" i="13" s="1"/>
  <c r="L4" i="11"/>
  <c r="L4" i="13" s="1"/>
  <c r="K4" i="11"/>
  <c r="K4" i="13" s="1"/>
  <c r="J4" i="11"/>
  <c r="J4" i="13" s="1"/>
  <c r="I4" i="11"/>
  <c r="I4" i="13" s="1"/>
  <c r="H4" i="11"/>
  <c r="H4" i="13" s="1"/>
  <c r="G4" i="11"/>
  <c r="G4" i="13" s="1"/>
  <c r="F4" i="11"/>
  <c r="F4" i="13" s="1"/>
  <c r="E4" i="11"/>
  <c r="E4" i="13" s="1"/>
  <c r="D4" i="11"/>
  <c r="C4" i="11"/>
  <c r="B4" i="11"/>
  <c r="B4" i="13" s="1"/>
  <c r="N3" i="11"/>
  <c r="N3" i="13" s="1"/>
  <c r="M3" i="11"/>
  <c r="M3" i="13" s="1"/>
  <c r="L3" i="11"/>
  <c r="L3" i="13" s="1"/>
  <c r="K3" i="11"/>
  <c r="K3" i="13" s="1"/>
  <c r="J3" i="11"/>
  <c r="J3" i="13" s="1"/>
  <c r="I3" i="11"/>
  <c r="I3" i="13" s="1"/>
  <c r="H3" i="11"/>
  <c r="H3" i="13" s="1"/>
  <c r="G3" i="11"/>
  <c r="G3" i="13" s="1"/>
  <c r="F3" i="11"/>
  <c r="F3" i="13" s="1"/>
  <c r="E3" i="11"/>
  <c r="E3" i="13" s="1"/>
  <c r="D3" i="11"/>
  <c r="C3" i="11"/>
  <c r="B3" i="11"/>
  <c r="B3" i="13" s="1"/>
  <c r="N2" i="11"/>
  <c r="N2" i="13" s="1"/>
  <c r="M2" i="11"/>
  <c r="M2" i="13" s="1"/>
  <c r="L2" i="11"/>
  <c r="L2" i="13" s="1"/>
  <c r="K2" i="11"/>
  <c r="K2" i="13" s="1"/>
  <c r="J2" i="11"/>
  <c r="J2" i="13" s="1"/>
  <c r="I2" i="11"/>
  <c r="I2" i="13" s="1"/>
  <c r="H2" i="11"/>
  <c r="H2" i="13" s="1"/>
  <c r="G2" i="11"/>
  <c r="G2" i="13" s="1"/>
  <c r="F2" i="11"/>
  <c r="F2" i="13" s="1"/>
  <c r="E2" i="11"/>
  <c r="E2" i="13" s="1"/>
  <c r="D2" i="11"/>
  <c r="C2" i="11"/>
  <c r="B2" i="11"/>
  <c r="B2" i="13" s="1"/>
  <c r="O2" i="13" l="1"/>
  <c r="AG9" i="9" s="1"/>
  <c r="O21" i="13"/>
  <c r="O25" i="13"/>
  <c r="O23" i="13"/>
  <c r="O22" i="13"/>
  <c r="O7" i="13"/>
  <c r="G40" i="5" s="1"/>
  <c r="O19" i="13"/>
  <c r="O18" i="13"/>
  <c r="O12" i="13"/>
  <c r="L40" i="5" s="1"/>
  <c r="O26" i="13"/>
  <c r="O28" i="13"/>
  <c r="O29" i="13"/>
  <c r="O13" i="13"/>
  <c r="O10" i="13"/>
  <c r="O30" i="13"/>
  <c r="O4" i="13"/>
  <c r="D40" i="5" s="1"/>
  <c r="O16" i="13"/>
  <c r="O14" i="13"/>
  <c r="O20" i="13"/>
  <c r="O9" i="13"/>
  <c r="I40" i="5" s="1"/>
  <c r="O31" i="13"/>
  <c r="O5" i="13"/>
  <c r="E40" i="5" s="1"/>
  <c r="O3" i="13"/>
  <c r="C40" i="5" s="1"/>
  <c r="O24" i="13"/>
  <c r="O17" i="13"/>
  <c r="O27" i="13"/>
  <c r="O8" i="13"/>
  <c r="H40" i="5" s="1"/>
  <c r="O11" i="13"/>
  <c r="K40" i="5" s="1"/>
  <c r="O15" i="13"/>
  <c r="O6" i="13"/>
  <c r="F40" i="5" s="1"/>
  <c r="I4" i="14"/>
  <c r="J4" i="14" s="1"/>
  <c r="I6" i="14"/>
  <c r="J6" i="14" s="1"/>
  <c r="B40" i="5" l="1"/>
  <c r="I2" i="14"/>
  <c r="J2" i="14" s="1"/>
  <c r="I3" i="14"/>
  <c r="J3" i="14" s="1"/>
  <c r="I5" i="14"/>
  <c r="J5"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<sst xmlns="http://schemas.openxmlformats.org/spreadsheetml/2006/main" count="491" uniqueCount="107">
  <si>
    <t>Metropolitan Area</t>
  </si>
  <si>
    <t>Indian Population %</t>
  </si>
  <si>
    <t>State Tax Rate (%)</t>
  </si>
  <si>
    <t>Local Tax Rate (%)</t>
  </si>
  <si>
    <t>Total Tax Rate (%)</t>
  </si>
  <si>
    <t>Crime Rate per 100k</t>
  </si>
  <si>
    <t>Cost of Living Index</t>
  </si>
  <si>
    <t>Job Market Score</t>
  </si>
  <si>
    <t>Number of Parks</t>
  </si>
  <si>
    <t>Number of Museums</t>
  </si>
  <si>
    <t>Nightlife score (0-10)</t>
  </si>
  <si>
    <t>Number of Restaurants</t>
  </si>
  <si>
    <t>Number of Theaters</t>
  </si>
  <si>
    <t>Annual Cultural Events</t>
  </si>
  <si>
    <t>New York</t>
  </si>
  <si>
    <t>Los Angeles</t>
  </si>
  <si>
    <t>Chicago</t>
  </si>
  <si>
    <t>Washington</t>
  </si>
  <si>
    <t>San Francisco</t>
  </si>
  <si>
    <t>Philadelphia</t>
  </si>
  <si>
    <t>Boston</t>
  </si>
  <si>
    <t>Detroit</t>
  </si>
  <si>
    <t>Dallas/Ft. Worth</t>
  </si>
  <si>
    <t>Houston</t>
  </si>
  <si>
    <t>Atlanta</t>
  </si>
  <si>
    <t>Miami/Ft. Lauderdale</t>
  </si>
  <si>
    <t>Seattle/Tacoma</t>
  </si>
  <si>
    <t>Phoenix</t>
  </si>
  <si>
    <t>Minneapolis/St. Paul</t>
  </si>
  <si>
    <t>Cleveland</t>
  </si>
  <si>
    <t>San Diego</t>
  </si>
  <si>
    <t>St. Louis</t>
  </si>
  <si>
    <t>Denver</t>
  </si>
  <si>
    <t>Tampa/St. Petersburg</t>
  </si>
  <si>
    <t>Pittsburgh</t>
  </si>
  <si>
    <t>Portland, OR</t>
  </si>
  <si>
    <t>Cincinnati</t>
  </si>
  <si>
    <t>Sacramento</t>
  </si>
  <si>
    <t>Kansas City</t>
  </si>
  <si>
    <t>Milwaukee</t>
  </si>
  <si>
    <t>Orlando</t>
  </si>
  <si>
    <t>Indianapolis</t>
  </si>
  <si>
    <t>San Antonio</t>
  </si>
  <si>
    <t>Norfolk/ Virginia Beach/ Newport News, VA</t>
  </si>
  <si>
    <t>Enter your Variable</t>
  </si>
  <si>
    <t>Enter your city</t>
  </si>
  <si>
    <t>Average of Total Tax Rate (%)</t>
  </si>
  <si>
    <t>Sum of Crime Rate per 100k</t>
  </si>
  <si>
    <t>Sum of Cost of Living Index</t>
  </si>
  <si>
    <t>Sum of Job Market Score</t>
  </si>
  <si>
    <t>Grand Total</t>
  </si>
  <si>
    <t>https://taxfoundation.org/data/all/state/2024-sales-taxes/</t>
  </si>
  <si>
    <t>https://taxfoundation.org/data/all/state/sales-tax-rates-major-us-cities/</t>
  </si>
  <si>
    <t>https://wallethub.com/edu/best-cities-for-jobs/11573</t>
  </si>
  <si>
    <t>https://www.mentalfloss.com/article/best-cities-job-seekers</t>
  </si>
  <si>
    <t xml:space="preserve">https://www.tripadvisor.com/ </t>
  </si>
  <si>
    <t xml:space="preserve">https://www.eventbrite.com/ </t>
  </si>
  <si>
    <t xml:space="preserve">https://www.numbeo.com/ </t>
  </si>
  <si>
    <t>Norfolk</t>
  </si>
  <si>
    <t>Values</t>
  </si>
  <si>
    <t>Row Labels</t>
  </si>
  <si>
    <t>Column Labels</t>
  </si>
  <si>
    <t>Overall Scoring</t>
  </si>
  <si>
    <t>City</t>
  </si>
  <si>
    <t>NewYork</t>
  </si>
  <si>
    <t>LosAngeles</t>
  </si>
  <si>
    <t>Recreational Score</t>
  </si>
  <si>
    <t>Average Salary</t>
  </si>
  <si>
    <t>Ranking</t>
  </si>
  <si>
    <t>Cities</t>
  </si>
  <si>
    <t>Receation Score</t>
  </si>
  <si>
    <t>Rankings</t>
  </si>
  <si>
    <t>Portland OR</t>
  </si>
  <si>
    <t>Norfolk/Virginia Beach/Newport News VA</t>
  </si>
  <si>
    <t>Weights</t>
  </si>
  <si>
    <t>Overall Rating</t>
  </si>
  <si>
    <t>Check the Top 5 cities based on your chosen parameter!</t>
  </si>
  <si>
    <t>Cost of Living</t>
  </si>
  <si>
    <t>Job Market</t>
  </si>
  <si>
    <t>Indian Pop</t>
  </si>
  <si>
    <t>Crime Rate</t>
  </si>
  <si>
    <t>Chicago.</t>
  </si>
  <si>
    <t>Washington.</t>
  </si>
  <si>
    <t>SanFrancisco</t>
  </si>
  <si>
    <t>Philadelphia.</t>
  </si>
  <si>
    <t>Boston.</t>
  </si>
  <si>
    <t>Detroit.</t>
  </si>
  <si>
    <t>Atlanta.</t>
  </si>
  <si>
    <t>Houston.</t>
  </si>
  <si>
    <t>Overall</t>
  </si>
  <si>
    <t>State Tax Rate</t>
  </si>
  <si>
    <t>Local Tax Rate</t>
  </si>
  <si>
    <t>Restaurants</t>
  </si>
  <si>
    <t>Parks</t>
  </si>
  <si>
    <t>Total Tax Rate</t>
  </si>
  <si>
    <t>City (Choose from Dropdown)</t>
  </si>
  <si>
    <t>Theatres</t>
  </si>
  <si>
    <t>Nightlife (1-10)</t>
  </si>
  <si>
    <t>Tax data</t>
  </si>
  <si>
    <t>Job score</t>
  </si>
  <si>
    <t>https://www.usinpac.com/by-metropolitan-area/</t>
  </si>
  <si>
    <t>Indian Population</t>
  </si>
  <si>
    <t>URL</t>
  </si>
  <si>
    <t>Type of data</t>
  </si>
  <si>
    <t>Lifestyle data</t>
  </si>
  <si>
    <t>Video Recording Link</t>
  </si>
  <si>
    <t>https://drive.google.com/file/d/1qz_VJDCNYzR-bxj2JgMdEqN_Rtwd5SHC/view?usp=drive_link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</si>
</sst>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2" x14ac:knownFonts="1">
    <font>
      <sz val="11"/>
      <color theme="1"/>
      <name val="Aptos Narrow"/>
      <family val="2"/>
      <scheme val="minor"/>
    </font>
    <font>
      <u/>
      <sz val="11"/>
      <color theme="10"/>
      <name val="Aptos Narrow"/>
      <family val="2"/>
      <scheme val="minor"/>
    </font>
    <font>
      <b/>
      <sz val="11"/>
      <color theme="1"/>
      <name val="Aptos Narrow"/>
      <family val="2"/>
      <scheme val="minor"/>
    </font>
    <font>
      <b/>
      <sz val="10"/>
      <color theme="1"/>
      <name val="Arial"/>
      <family val="2"/>
    </font>
    <font>
      <sz val="10"/>
      <color theme="1"/>
      <name val="Arial"/>
      <family val="2"/>
    </font>
    <font>
      <sz val="11"/>
      <color rgb="FF000000"/>
      <name val="Calibri"/>
      <family val="2"/>
    </font>
    <font>
      <sz val="11"/>
      <color rgb="FF000000"/>
      <name val="Aptos Narrow"/>
      <family val="2"/>
      <scheme val="minor"/>
    </font>
    <font>
      <b/>
      <sz val="11"/>
      <color rgb="FFFFFFFF"/>
      <name val="Aptos Narrow"/>
      <family val="2"/>
      <scheme val="minor"/>
    </font>
    <font>
      <b/>
      <sz val="10"/>
      <color rgb="FFFFFFFF"/>
      <name val="Arial"/>
      <family val="2"/>
    </font>
    <font>
      <sz val="10"/>
      <color rgb="FF000000"/>
      <name val="Arial"/>
      <family val="2"/>
    </font>
    <font>
      <sz val="11"/>
      <color theme="1"/>
      <name val="Aptos Narrow"/>
      <family val="2"/>
      <scheme val="minor"/>
    </font>
    <font>
      <sz val="11"/>
      <color theme="0"/>
      <name val="Aptos Narrow"/>
      <family val="2"/>
      <scheme val="minor"/>
    </font>
    <font>
      <sz val="11"/>
      <color theme="1"/>
      <name val="Segoe UI"/>
      <family val="2"/>
    </font>
    <font>
      <b/>
      <sz val="11"/>
      <color theme="1"/>
      <name val="Segoe UI"/>
      <family val="2"/>
    </font>
    <font>
      <sz val="32"/>
      <color theme="1"/>
      <name val="Segoe UI"/>
      <family val="2"/>
    </font>
    <font>
      <sz val="30"/>
      <color theme="1"/>
      <name val="Segoe UI"/>
      <family val="2"/>
    </font>
    <font>
      <b/>
      <sz val="20"/>
      <color theme="1"/>
      <name val="Segoe UI"/>
      <family val="2"/>
    </font>
    <font>
      <b/>
      <sz val="14"/>
      <color theme="1"/>
      <name val="Segoe UI"/>
      <family val="2"/>
    </font>
    <font>
      <b/>
      <sz val="22"/>
      <color theme="1"/>
      <name val="Segoe UI"/>
      <family val="2"/>
    </font>
    <font>
      <sz val="28"/>
      <color theme="1"/>
      <name val="Segoe UI"/>
      <family val="2"/>
    </font>
    <font>
      <sz val="20"/>
      <color theme="1"/>
      <name val="Segoe UI"/>
      <family val="2"/>
    </font>
    <font>
      <sz val="11"/>
      <color theme="0" tint="-4.9989318521683403E-2"/>
      <name val="Segoe UI"/>
      <family val="2"/>
    </font>
  </fonts>
  <fills count="11">
    <fill>
      <patternFill patternType="none"/>
    </fill>
    <fill>
      <patternFill patternType="gray125"/>
    </fill>
    <fill>
      <patternFill patternType="solid">
        <fgColor theme="4" tint="0.79998168889431442"/>
        <bgColor theme="4" tint="0.79998168889431442"/>
      </patternFill>
    </fill>
    <fill>
      <patternFill patternType="solid">
        <fgColor rgb="FF156082"/>
        <bgColor rgb="FF156082"/>
      </patternFill>
    </fill>
    <fill>
      <patternFill patternType="solid">
        <fgColor rgb="FFC0E6F5"/>
        <bgColor rgb="FFC0E6F5"/>
      </patternFill>
    </fill>
    <fill>
      <patternFill patternType="solid">
        <fgColor theme="5"/>
      </patternFill>
    </fill>
    <fill>
      <patternFill patternType="solid">
        <fgColor theme="5" tint="0.59999389629810485"/>
        <bgColor indexed="65"/>
      </patternFill>
    </fill>
    <fill>
      <patternFill patternType="solid">
        <fgColor theme="0"/>
        <bgColor indexed="64"/>
      </patternFill>
    </fill>
    <fill>
      <patternFill patternType="solid">
        <fgColor theme="4"/>
        <bgColor indexed="64"/>
      </patternFill>
    </fill>
    <fill>
      <patternFill patternType="solid">
        <fgColor theme="4" tint="0.59999389629810485"/>
        <bgColor indexed="64"/>
      </patternFill>
    </fill>
    <fill>
      <patternFill patternType="solid">
        <fgColor theme="0" tint="-4.9989318521683403E-2"/>
        <bgColor indexed="64"/>
      </patternFill>
    </fill>
  </fills>
  <borders count="25">
    <border>
      <left/>
      <right/>
      <top/>
      <bottom/>
      <diagonal/>
    </border>
    <border>
      <left style="thin">
        <color rgb="FF000000"/>
      </left>
      <right style="thin">
        <color rgb="FF000000"/>
      </right>
      <top style="thin">
        <color rgb="FF000000"/>
      </top>
      <bottom style="thin">
        <color rgb="FF000000"/>
      </bottom>
      <diagonal/>
    </border>
    <border>
      <left/>
      <right/>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44B3E1"/>
      </left>
      <right/>
      <top style="thin">
        <color rgb="FF44B3E1"/>
      </top>
      <bottom style="thin">
        <color rgb="FF44B3E1"/>
      </bottom>
      <diagonal/>
    </border>
    <border>
      <left/>
      <right/>
      <top style="thin">
        <color rgb="FF44B3E1"/>
      </top>
      <bottom style="thin">
        <color rgb="FF44B3E1"/>
      </bottom>
      <diagonal/>
    </border>
    <border>
      <left/>
      <right style="thin">
        <color rgb="FF44B3E1"/>
      </right>
      <top style="thin">
        <color rgb="FF44B3E1"/>
      </top>
      <bottom style="thin">
        <color rgb="FF44B3E1"/>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4">
    <xf numFmtId="0" fontId="0" fillId="0" borderId="0"/>
    <xf numFmtId="0" fontId="1" fillId="0" borderId="0" applyNumberFormat="0" applyFill="0" applyBorder="0" applyAlignment="0" applyProtection="0"/>
    <xf numFmtId="0" fontId="11" fillId="5" borderId="0" applyNumberFormat="0" applyBorder="0" applyAlignment="0" applyProtection="0"/>
    <xf numFmtId="0" fontId="10" fillId="6" borderId="0" applyNumberFormat="0" applyBorder="0" applyAlignment="0" applyProtection="0"/>
  </cellStyleXfs>
  <cellXfs count="130">
    <xf numFmtId="0" fontId="0" fillId="0" borderId="0" xfId="0"/>
    <xf numFmtId="0" fontId="1" fillId="0" borderId="0" xfId="1"/>
    <xf numFmtId="0" fontId="3" fillId="0" borderId="0" xfId="0" applyFont="1"/>
    <xf numFmtId="0" fontId="4" fillId="0" borderId="0" xfId="0" applyFont="1"/>
    <xf numFmtId="3" fontId="4" fillId="0" borderId="0" xfId="0" applyNumberFormat="1" applyFont="1"/>
    <xf numFmtId="0" fontId="2" fillId="0" borderId="0" xfId="0" applyFont="1" applyAlignment="1">
      <alignment horizontal="center" vertical="center" wrapText="1"/>
    </xf>
    <xf numFmtId="0" fontId="0" fillId="0" borderId="0" xfId="0" applyAlignment="1">
      <alignment vertical="center" wrapText="1"/>
    </xf>
    <xf numFmtId="0" fontId="0" fillId="0" borderId="0" xfId="0" pivotButton="1"/>
    <xf numFmtId="0" fontId="2" fillId="0" borderId="1" xfId="0" applyFont="1" applyBorder="1"/>
    <xf numFmtId="0" fontId="0" fillId="0" borderId="1" xfId="0" applyBorder="1"/>
    <xf numFmtId="0" fontId="2" fillId="2" borderId="2" xfId="0" applyFont="1" applyFill="1" applyBorder="1"/>
    <xf numFmtId="1" fontId="0" fillId="0" borderId="0" xfId="0" applyNumberFormat="1" applyAlignment="1">
      <alignment vertical="center" wrapText="1"/>
    </xf>
    <xf numFmtId="1" fontId="0" fillId="0" borderId="0" xfId="0" applyNumberFormat="1"/>
    <xf numFmtId="0" fontId="0" fillId="0" borderId="0" xfId="0" applyAlignment="1">
      <alignment horizontal="left"/>
    </xf>
    <xf numFmtId="0" fontId="7" fillId="3" borderId="10" xfId="0" applyFont="1" applyFill="1" applyBorder="1"/>
    <xf numFmtId="0" fontId="7" fillId="3" borderId="11" xfId="0" applyFont="1" applyFill="1" applyBorder="1"/>
    <xf numFmtId="0" fontId="7" fillId="3" borderId="12" xfId="0" applyFont="1" applyFill="1" applyBorder="1"/>
    <xf numFmtId="0" fontId="6" fillId="0" borderId="0" xfId="0" applyFont="1"/>
    <xf numFmtId="0" fontId="8" fillId="3" borderId="11" xfId="0" applyFont="1" applyFill="1" applyBorder="1"/>
    <xf numFmtId="0" fontId="8" fillId="3" borderId="10" xfId="0" applyFont="1" applyFill="1" applyBorder="1"/>
    <xf numFmtId="0" fontId="6" fillId="4" borderId="10" xfId="0" applyFont="1" applyFill="1" applyBorder="1"/>
    <xf numFmtId="0" fontId="6" fillId="4" borderId="11" xfId="0" applyFont="1" applyFill="1" applyBorder="1"/>
    <xf numFmtId="0" fontId="6" fillId="4" borderId="12" xfId="0" applyFont="1" applyFill="1" applyBorder="1"/>
    <xf numFmtId="0" fontId="9" fillId="4" borderId="10" xfId="0" applyFont="1" applyFill="1" applyBorder="1"/>
    <xf numFmtId="0" fontId="5" fillId="4" borderId="11" xfId="0" applyFont="1" applyFill="1" applyBorder="1"/>
    <xf numFmtId="0" fontId="9" fillId="4" borderId="11" xfId="0" applyFont="1" applyFill="1" applyBorder="1"/>
    <xf numFmtId="0" fontId="6" fillId="0" borderId="10" xfId="0" applyFont="1" applyBorder="1"/>
    <xf numFmtId="0" fontId="6" fillId="0" borderId="11" xfId="0" applyFont="1" applyBorder="1"/>
    <xf numFmtId="0" fontId="6" fillId="0" borderId="12" xfId="0" applyFont="1" applyBorder="1"/>
    <xf numFmtId="0" fontId="9" fillId="0" borderId="10" xfId="0" applyFont="1" applyBorder="1"/>
    <xf numFmtId="0" fontId="5" fillId="0" borderId="11" xfId="0" applyFont="1" applyBorder="1"/>
    <xf numFmtId="0" fontId="9" fillId="0" borderId="11" xfId="0" applyFont="1" applyBorder="1"/>
    <xf numFmtId="3" fontId="9" fillId="0" borderId="11" xfId="0" applyNumberFormat="1" applyFont="1" applyBorder="1"/>
    <xf numFmtId="3" fontId="9" fillId="4" borderId="11" xfId="0" applyNumberFormat="1" applyFont="1" applyFill="1" applyBorder="1"/>
    <xf numFmtId="0" fontId="2" fillId="0" borderId="0" xfId="0" applyFont="1" applyAlignment="1">
      <alignment horizontal="center" wrapText="1"/>
    </xf>
    <xf numFmtId="1" fontId="4" fillId="0" borderId="0" xfId="0" applyNumberFormat="1" applyFont="1"/>
    <xf numFmtId="164" fontId="4" fillId="0" borderId="0" xfId="0" applyNumberFormat="1" applyFont="1"/>
    <xf numFmtId="164" fontId="0" fillId="0" borderId="0" xfId="0" applyNumberFormat="1" applyAlignment="1">
      <alignment vertical="center" wrapText="1"/>
    </xf>
    <xf numFmtId="164" fontId="0" fillId="0" borderId="0" xfId="0" applyNumberFormat="1"/>
    <xf numFmtId="164" fontId="2" fillId="0" borderId="0" xfId="0" applyNumberFormat="1" applyFont="1" applyAlignment="1">
      <alignment vertical="center" wrapText="1"/>
    </xf>
    <xf numFmtId="0" fontId="2" fillId="0" borderId="0" xfId="0" applyFont="1"/>
    <xf numFmtId="2" fontId="4" fillId="0" borderId="0" xfId="0" applyNumberFormat="1" applyFont="1"/>
    <xf numFmtId="0" fontId="12" fillId="7" borderId="0" xfId="0" applyFont="1" applyFill="1"/>
    <xf numFmtId="0" fontId="14" fillId="9" borderId="13" xfId="0" applyFont="1" applyFill="1" applyBorder="1" applyAlignment="1">
      <alignment vertical="center"/>
    </xf>
    <xf numFmtId="0" fontId="14" fillId="9" borderId="0" xfId="0" applyFont="1" applyFill="1" applyAlignment="1">
      <alignment vertical="center"/>
    </xf>
    <xf numFmtId="0" fontId="14" fillId="9" borderId="6" xfId="0" applyFont="1" applyFill="1" applyBorder="1" applyAlignment="1">
      <alignment vertical="center"/>
    </xf>
    <xf numFmtId="0" fontId="0" fillId="9" borderId="0" xfId="0" applyFill="1"/>
    <xf numFmtId="0" fontId="13" fillId="10" borderId="0" xfId="0" applyFont="1" applyFill="1"/>
    <xf numFmtId="0" fontId="12" fillId="10" borderId="0" xfId="0" applyFont="1" applyFill="1"/>
    <xf numFmtId="0" fontId="14" fillId="10" borderId="0" xfId="0" applyFont="1" applyFill="1" applyAlignment="1">
      <alignment horizontal="center" vertical="center"/>
    </xf>
    <xf numFmtId="0" fontId="21" fillId="10" borderId="0" xfId="0" applyFont="1" applyFill="1"/>
    <xf numFmtId="0" fontId="2" fillId="0" borderId="0" xfId="0" applyFont="1" applyAlignment="1">
      <alignment horizontal="left" vertical="center" wrapText="1"/>
    </xf>
    <xf numFmtId="0" fontId="2" fillId="0" borderId="0" xfId="0" applyFont="1" applyAlignment="1">
      <alignment horizontal="center"/>
    </xf>
    <xf numFmtId="0" fontId="12" fillId="9" borderId="3" xfId="3" applyFont="1" applyFill="1" applyBorder="1"/>
    <xf numFmtId="0" fontId="12" fillId="9" borderId="4" xfId="3" applyFont="1" applyFill="1" applyBorder="1"/>
    <xf numFmtId="0" fontId="12" fillId="9" borderId="24" xfId="3" applyFont="1" applyFill="1" applyBorder="1"/>
    <xf numFmtId="0" fontId="12" fillId="9" borderId="13" xfId="3" applyFont="1" applyFill="1" applyBorder="1"/>
    <xf numFmtId="0" fontId="12" fillId="9" borderId="0" xfId="3" applyFont="1" applyFill="1" applyBorder="1"/>
    <xf numFmtId="0" fontId="12" fillId="9" borderId="15" xfId="3" applyFont="1" applyFill="1" applyBorder="1"/>
    <xf numFmtId="0" fontId="12" fillId="9" borderId="7" xfId="3" applyFont="1" applyFill="1" applyBorder="1"/>
    <xf numFmtId="0" fontId="12" fillId="9" borderId="8" xfId="3" applyFont="1" applyFill="1" applyBorder="1"/>
    <xf numFmtId="0" fontId="12" fillId="9" borderId="22" xfId="3" applyFont="1" applyFill="1" applyBorder="1"/>
    <xf numFmtId="0" fontId="17" fillId="8" borderId="13" xfId="0" applyFont="1" applyFill="1" applyBorder="1" applyAlignment="1">
      <alignment horizontal="center" vertical="center"/>
    </xf>
    <xf numFmtId="0" fontId="17" fillId="8" borderId="0" xfId="0" applyFont="1" applyFill="1" applyAlignment="1">
      <alignment horizontal="center" vertical="center"/>
    </xf>
    <xf numFmtId="0" fontId="17" fillId="8" borderId="6" xfId="0" applyFont="1" applyFill="1" applyBorder="1" applyAlignment="1">
      <alignment horizontal="center" vertical="center"/>
    </xf>
    <xf numFmtId="0" fontId="17" fillId="8" borderId="7" xfId="0" applyFont="1" applyFill="1" applyBorder="1" applyAlignment="1">
      <alignment horizontal="center" vertical="center"/>
    </xf>
    <xf numFmtId="0" fontId="17" fillId="8" borderId="8" xfId="0" applyFont="1" applyFill="1" applyBorder="1" applyAlignment="1">
      <alignment horizontal="center" vertical="center"/>
    </xf>
    <xf numFmtId="0" fontId="17" fillId="8" borderId="9" xfId="0" applyFont="1" applyFill="1" applyBorder="1" applyAlignment="1">
      <alignment horizontal="center" vertical="center"/>
    </xf>
    <xf numFmtId="0" fontId="19" fillId="9" borderId="3" xfId="0" applyFont="1" applyFill="1" applyBorder="1" applyAlignment="1">
      <alignment horizontal="center" vertical="center"/>
    </xf>
    <xf numFmtId="0" fontId="19" fillId="9" borderId="4" xfId="0" applyFont="1" applyFill="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9" xfId="0" applyFont="1" applyFill="1" applyBorder="1" applyAlignment="1">
      <alignment horizontal="center" vertical="center"/>
    </xf>
    <xf numFmtId="0" fontId="20" fillId="9" borderId="14" xfId="0" applyFont="1" applyFill="1" applyBorder="1" applyAlignment="1">
      <alignment horizontal="center"/>
    </xf>
    <xf numFmtId="0" fontId="20" fillId="9" borderId="0" xfId="0" applyFont="1" applyFill="1" applyAlignment="1">
      <alignment horizontal="center"/>
    </xf>
    <xf numFmtId="0" fontId="20" fillId="9" borderId="6" xfId="0" applyFont="1" applyFill="1" applyBorder="1" applyAlignment="1">
      <alignment horizontal="center"/>
    </xf>
    <xf numFmtId="0" fontId="20" fillId="9" borderId="23" xfId="0" applyFont="1" applyFill="1" applyBorder="1" applyAlignment="1">
      <alignment horizontal="center"/>
    </xf>
    <xf numFmtId="0" fontId="20" fillId="9" borderId="4" xfId="0" applyFont="1" applyFill="1" applyBorder="1" applyAlignment="1">
      <alignment horizontal="center"/>
    </xf>
    <xf numFmtId="0" fontId="20" fillId="9" borderId="5" xfId="0" applyFont="1" applyFill="1" applyBorder="1" applyAlignment="1">
      <alignment horizontal="center"/>
    </xf>
    <xf numFmtId="0" fontId="20" fillId="9" borderId="18" xfId="0" applyFont="1" applyFill="1" applyBorder="1" applyAlignment="1">
      <alignment horizontal="center"/>
    </xf>
    <xf numFmtId="0" fontId="20" fillId="9" borderId="8" xfId="0" applyFont="1" applyFill="1" applyBorder="1" applyAlignment="1">
      <alignment horizontal="center"/>
    </xf>
    <xf numFmtId="0" fontId="20" fillId="9" borderId="9" xfId="0" applyFont="1" applyFill="1" applyBorder="1" applyAlignment="1">
      <alignment horizontal="center"/>
    </xf>
    <xf numFmtId="0" fontId="16" fillId="8" borderId="3" xfId="2" applyFont="1" applyFill="1" applyBorder="1" applyAlignment="1">
      <alignment horizontal="center" vertical="center" wrapText="1"/>
    </xf>
    <xf numFmtId="0" fontId="16" fillId="8" borderId="4" xfId="2" applyFont="1" applyFill="1" applyBorder="1" applyAlignment="1">
      <alignment horizontal="center" vertical="center" wrapText="1"/>
    </xf>
    <xf numFmtId="0" fontId="16" fillId="8" borderId="13" xfId="2" applyFont="1" applyFill="1" applyBorder="1" applyAlignment="1">
      <alignment horizontal="center" vertical="center" wrapText="1"/>
    </xf>
    <xf numFmtId="0" fontId="16" fillId="8" borderId="0" xfId="2" applyFont="1" applyFill="1" applyBorder="1" applyAlignment="1">
      <alignment horizontal="center" vertical="center" wrapText="1"/>
    </xf>
    <xf numFmtId="0" fontId="16" fillId="8" borderId="7" xfId="2" applyFont="1" applyFill="1" applyBorder="1" applyAlignment="1">
      <alignment horizontal="center" vertical="center" wrapText="1"/>
    </xf>
    <xf numFmtId="0" fontId="16" fillId="8" borderId="8" xfId="2" applyFont="1" applyFill="1" applyBorder="1" applyAlignment="1">
      <alignment horizontal="center" vertical="center" wrapText="1"/>
    </xf>
    <xf numFmtId="0" fontId="16" fillId="8" borderId="5" xfId="2" applyFont="1" applyFill="1" applyBorder="1" applyAlignment="1">
      <alignment horizontal="center" vertical="center" wrapText="1"/>
    </xf>
    <xf numFmtId="0" fontId="16" fillId="8" borderId="6" xfId="2" applyFont="1" applyFill="1" applyBorder="1" applyAlignment="1">
      <alignment horizontal="center" vertical="center" wrapText="1"/>
    </xf>
    <xf numFmtId="0" fontId="16" fillId="8" borderId="9" xfId="2" applyFont="1" applyFill="1" applyBorder="1" applyAlignment="1">
      <alignment horizontal="center" vertical="center" wrapText="1"/>
    </xf>
    <xf numFmtId="0" fontId="14" fillId="9" borderId="13" xfId="0" applyFont="1" applyFill="1" applyBorder="1" applyAlignment="1">
      <alignment horizontal="center" vertical="center"/>
    </xf>
    <xf numFmtId="0" fontId="14" fillId="9" borderId="0" xfId="0" applyFont="1" applyFill="1" applyAlignment="1">
      <alignment horizontal="center" vertical="center"/>
    </xf>
    <xf numFmtId="0" fontId="14" fillId="9" borderId="7" xfId="0" applyFont="1" applyFill="1" applyBorder="1" applyAlignment="1">
      <alignment horizontal="center" vertical="center"/>
    </xf>
    <xf numFmtId="0" fontId="14" fillId="9" borderId="8" xfId="0" applyFont="1" applyFill="1" applyBorder="1" applyAlignment="1">
      <alignment horizontal="center" vertical="center"/>
    </xf>
    <xf numFmtId="0" fontId="18" fillId="8" borderId="19" xfId="0" applyFont="1" applyFill="1" applyBorder="1" applyAlignment="1">
      <alignment horizontal="center" vertical="center"/>
    </xf>
    <xf numFmtId="0" fontId="18" fillId="8" borderId="20" xfId="0" applyFont="1" applyFill="1" applyBorder="1" applyAlignment="1">
      <alignment horizontal="center" vertical="center"/>
    </xf>
    <xf numFmtId="0" fontId="18" fillId="8" borderId="21" xfId="0" applyFont="1" applyFill="1" applyBorder="1" applyAlignment="1">
      <alignment horizontal="center" vertical="center"/>
    </xf>
    <xf numFmtId="0" fontId="18" fillId="8" borderId="19" xfId="0" applyFont="1" applyFill="1" applyBorder="1" applyAlignment="1">
      <alignment horizontal="center"/>
    </xf>
    <xf numFmtId="0" fontId="18" fillId="8" borderId="20" xfId="0" applyFont="1" applyFill="1" applyBorder="1" applyAlignment="1">
      <alignment horizontal="center"/>
    </xf>
    <xf numFmtId="0" fontId="18" fillId="8" borderId="21" xfId="0" applyFont="1" applyFill="1" applyBorder="1" applyAlignment="1">
      <alignment horizontal="center"/>
    </xf>
    <xf numFmtId="2" fontId="15" fillId="9" borderId="3" xfId="0" applyNumberFormat="1" applyFont="1" applyFill="1" applyBorder="1" applyAlignment="1">
      <alignment horizontal="center" vertical="center"/>
    </xf>
    <xf numFmtId="2" fontId="15" fillId="9" borderId="4" xfId="0" applyNumberFormat="1" applyFont="1" applyFill="1" applyBorder="1" applyAlignment="1">
      <alignment horizontal="center" vertical="center"/>
    </xf>
    <xf numFmtId="2" fontId="15" fillId="9" borderId="5" xfId="0" applyNumberFormat="1" applyFont="1" applyFill="1" applyBorder="1" applyAlignment="1">
      <alignment horizontal="center" vertical="center"/>
    </xf>
    <xf numFmtId="2" fontId="15" fillId="9" borderId="13" xfId="0" applyNumberFormat="1" applyFont="1" applyFill="1" applyBorder="1" applyAlignment="1">
      <alignment horizontal="center" vertical="center"/>
    </xf>
    <xf numFmtId="2" fontId="15" fillId="9" borderId="0" xfId="0" applyNumberFormat="1" applyFont="1" applyFill="1" applyAlignment="1">
      <alignment horizontal="center" vertical="center"/>
    </xf>
    <xf numFmtId="2" fontId="15" fillId="9" borderId="6" xfId="0" applyNumberFormat="1" applyFont="1" applyFill="1" applyBorder="1" applyAlignment="1">
      <alignment horizontal="center" vertical="center"/>
    </xf>
    <xf numFmtId="2" fontId="15" fillId="9" borderId="7" xfId="0" applyNumberFormat="1" applyFont="1" applyFill="1" applyBorder="1" applyAlignment="1">
      <alignment horizontal="center" vertical="center"/>
    </xf>
    <xf numFmtId="2" fontId="15" fillId="9" borderId="8" xfId="0" applyNumberFormat="1" applyFont="1" applyFill="1" applyBorder="1" applyAlignment="1">
      <alignment horizontal="center" vertical="center"/>
    </xf>
    <xf numFmtId="2" fontId="15" fillId="9" borderId="9" xfId="0" applyNumberFormat="1" applyFont="1" applyFill="1" applyBorder="1" applyAlignment="1">
      <alignment horizontal="center" vertical="center"/>
    </xf>
    <xf numFmtId="0" fontId="13" fillId="8" borderId="3" xfId="0" applyFont="1" applyFill="1" applyBorder="1" applyAlignment="1">
      <alignment horizontal="center" vertical="center" wrapText="1"/>
    </xf>
    <xf numFmtId="0" fontId="13" fillId="8" borderId="4" xfId="0" applyFont="1" applyFill="1" applyBorder="1" applyAlignment="1">
      <alignment horizontal="center" vertical="center" wrapText="1"/>
    </xf>
    <xf numFmtId="0" fontId="13" fillId="8" borderId="5" xfId="0" applyFont="1" applyFill="1" applyBorder="1" applyAlignment="1">
      <alignment horizontal="center" vertical="center" wrapText="1"/>
    </xf>
    <xf numFmtId="0" fontId="13" fillId="8" borderId="7" xfId="0" applyFont="1" applyFill="1" applyBorder="1" applyAlignment="1">
      <alignment horizontal="center" vertical="center" wrapText="1"/>
    </xf>
    <xf numFmtId="0" fontId="13" fillId="8" borderId="8" xfId="0" applyFont="1" applyFill="1" applyBorder="1" applyAlignment="1">
      <alignment horizontal="center" vertical="center" wrapText="1"/>
    </xf>
    <xf numFmtId="0" fontId="13" fillId="8" borderId="9" xfId="0" applyFont="1" applyFill="1" applyBorder="1" applyAlignment="1">
      <alignment horizontal="center" vertical="center" wrapText="1"/>
    </xf>
    <xf numFmtId="0" fontId="17" fillId="8" borderId="3" xfId="0" applyFont="1" applyFill="1" applyBorder="1" applyAlignment="1">
      <alignment horizontal="center" vertical="center"/>
    </xf>
    <xf numFmtId="0" fontId="17" fillId="8" borderId="4" xfId="0" applyFont="1" applyFill="1" applyBorder="1" applyAlignment="1">
      <alignment horizontal="center" vertical="center"/>
    </xf>
    <xf numFmtId="0" fontId="17" fillId="8" borderId="5" xfId="0" applyFont="1" applyFill="1" applyBorder="1" applyAlignment="1">
      <alignment horizontal="center" vertical="center"/>
    </xf>
    <xf numFmtId="0" fontId="20" fillId="9" borderId="14" xfId="3" applyFont="1" applyFill="1" applyBorder="1" applyAlignment="1">
      <alignment horizontal="center" vertical="center"/>
    </xf>
    <xf numFmtId="0" fontId="20" fillId="9" borderId="15" xfId="3" applyFont="1" applyFill="1" applyBorder="1" applyAlignment="1">
      <alignment horizontal="center" vertical="center"/>
    </xf>
    <xf numFmtId="0" fontId="20" fillId="9" borderId="16" xfId="3" applyFont="1" applyFill="1" applyBorder="1" applyAlignment="1">
      <alignment horizontal="center" vertical="center"/>
    </xf>
    <xf numFmtId="0" fontId="20" fillId="9" borderId="17" xfId="3" applyFont="1" applyFill="1" applyBorder="1" applyAlignment="1">
      <alignment horizontal="center" vertical="center"/>
    </xf>
    <xf numFmtId="0" fontId="20" fillId="9" borderId="23" xfId="3" applyFont="1" applyFill="1" applyBorder="1" applyAlignment="1">
      <alignment horizontal="center" vertical="center"/>
    </xf>
    <xf numFmtId="0" fontId="20" fillId="9" borderId="24" xfId="3" applyFont="1" applyFill="1" applyBorder="1" applyAlignment="1">
      <alignment horizontal="center" vertical="center"/>
    </xf>
    <xf numFmtId="0" fontId="20" fillId="9" borderId="18" xfId="3" applyFont="1" applyFill="1" applyBorder="1" applyAlignment="1">
      <alignment horizontal="center" vertical="center"/>
    </xf>
    <xf numFmtId="0" fontId="20" fillId="9" borderId="22" xfId="3" applyFont="1" applyFill="1" applyBorder="1" applyAlignment="1">
      <alignment horizontal="center" vertical="center"/>
    </xf>
    <xf numFmtId="0" fontId="0" fillId="0" borderId="0" xfId="0"/>
    <xf numFmtId="0" fontId="0" fillId="0" borderId="0" xfId="0" applyNumberFormat="1"/>
  </cellXfs>
  <cellStyles count="4">
    <cellStyle name="40% - Accent2" xfId="3" builtinId="35"/>
    <cellStyle name="Accent2" xfId="2" builtinId="33"/>
    <cellStyle name="Hyperlink" xfId="1" builtinId="8"/>
    <cellStyle name="Normal" xfId="0" builtinId="0"/>
  </cellStyles>
  <dxfs count="53">
    <dxf>
      <font>
        <b/>
      </font>
      <numFmt numFmtId="164" formatCode="0.0"/>
      <alignment horizontal="general" vertical="center" textRotation="0" wrapText="1" indent="0" justifyLastLine="0" shrinkToFit="0" readingOrder="0"/>
    </dxf>
    <dxf>
      <numFmt numFmtId="164" formatCode="0.0"/>
      <alignment horizontal="general" vertical="center" textRotation="0" wrapText="1" indent="0" justifyLastLine="0" shrinkToFit="0" readingOrder="0"/>
    </dxf>
    <dxf>
      <numFmt numFmtId="164" formatCode="0.0"/>
      <alignment horizontal="general" vertical="center" textRotation="0" wrapText="1" indent="0" justifyLastLine="0" shrinkToFit="0" readingOrder="0"/>
    </dxf>
    <dxf>
      <numFmt numFmtId="164" formatCode="0.0"/>
      <alignment horizontal="general" vertical="center" textRotation="0" wrapText="1" indent="0" justifyLastLine="0" shrinkToFit="0" readingOrder="0"/>
    </dxf>
    <dxf>
      <numFmt numFmtId="164" formatCode="0.0"/>
    </dxf>
    <dxf>
      <numFmt numFmtId="164" formatCode="0.0"/>
      <alignment horizontal="general" vertical="center" textRotation="0" wrapText="1" indent="0" justifyLastLine="0" shrinkToFit="0" readingOrder="0"/>
    </dxf>
    <dxf>
      <numFmt numFmtId="164" formatCode="0.0"/>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numFmt numFmtId="164" formatCode="0.0"/>
    </dxf>
    <dxf>
      <font>
        <b val="0"/>
        <i val="0"/>
        <strike val="0"/>
        <condense val="0"/>
        <extend val="0"/>
        <outline val="0"/>
        <shadow val="0"/>
        <u val="none"/>
        <vertAlign val="baseline"/>
        <sz val="10"/>
        <color theme="1"/>
        <name val="Arial"/>
        <family val="2"/>
        <scheme val="none"/>
      </font>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numFmt numFmtId="1" formatCode="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numFmt numFmtId="1" formatCode="0"/>
    </dxf>
    <dxf>
      <font>
        <b val="0"/>
        <i val="0"/>
        <strike val="0"/>
        <condense val="0"/>
        <extend val="0"/>
        <outline val="0"/>
        <shadow val="0"/>
        <u val="none"/>
        <vertAlign val="baseline"/>
        <sz val="10"/>
        <color theme="1"/>
        <name val="Arial"/>
        <family val="2"/>
        <scheme val="none"/>
      </font>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numFmt numFmtId="1" formatCode="0"/>
    </dxf>
    <dxf>
      <numFmt numFmtId="1" formatCode="0"/>
      <alignment horizontal="general" vertical="center" textRotation="0" wrapText="1" indent="0" justifyLastLine="0" shrinkToFit="0" readingOrder="0"/>
    </dxf>
    <dxf>
      <numFmt numFmtId="1" formatCode="0"/>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2" formatCode="0.00"/>
    </dxf>
    <dxf>
      <font>
        <b val="0"/>
        <i val="0"/>
        <strike val="0"/>
        <condense val="0"/>
        <extend val="0"/>
        <outline val="0"/>
        <shadow val="0"/>
        <u val="none"/>
        <vertAlign val="baseline"/>
        <sz val="10"/>
        <color theme="1"/>
        <name val="Arial"/>
        <family val="2"/>
        <scheme val="none"/>
      </font>
      <numFmt numFmtId="2" formatCode="0.00"/>
    </dxf>
    <dxf>
      <font>
        <b val="0"/>
        <i val="0"/>
        <strike val="0"/>
        <condense val="0"/>
        <extend val="0"/>
        <outline val="0"/>
        <shadow val="0"/>
        <u val="none"/>
        <vertAlign val="baseline"/>
        <sz val="10"/>
        <color theme="1"/>
        <name val="Arial"/>
        <family val="2"/>
        <scheme val="none"/>
      </font>
      <numFmt numFmtId="2" formatCode="0.0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dxf>
    <dxf>
      <font>
        <b/>
        <color theme="1"/>
      </font>
      <border>
        <bottom style="thin">
          <color theme="4"/>
        </bottom>
        <vertical/>
        <horizontal/>
      </border>
    </dxf>
    <dxf>
      <font>
        <sz val="12"/>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sz val="14"/>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custom" pivot="0" table="0" count="10" xr9:uid="{1C48CB1D-274E-4E3D-8D48-6D3A1392F430}">
      <tableStyleElement type="wholeTable" dxfId="52"/>
      <tableStyleElement type="headerRow" dxfId="51"/>
    </tableStyle>
    <tableStyle name="SlicerStyleDark1 2" pivot="0" table="0" count="10" xr9:uid="{5E7D48EE-CF10-4809-A3E5-E50B600AF486}">
      <tableStyleElement type="wholeTable" dxfId="50"/>
      <tableStyleElement type="headerRow" dxfId="49"/>
    </tableStyle>
  </tableStyles>
  <colors>
    <mruColors>
      <color rgb="FFCCFFFF"/>
      <color rgb="FFFFFF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custom">
        <x14:slicerStyle name="SlicerStyl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[Group12 Dashboard.xlsm]GraphPivotData!PivotTable2</c:name>
    <c:fmtId val="9"/>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sz="2800">
                <a:solidFill>
                  <a:schemeClr val="tx1"/>
                </a:solidFill>
              </a:rPr>
              <a:t>City Analysis by</a:t>
            </a:r>
            <a:r>
              <a:rPr lang="en-US" sz="2800" baseline="0">
                <a:solidFill>
                  <a:schemeClr val="tx1"/>
                </a:solidFill>
              </a:rPr>
              <a:t>  Chosen Parameter</a:t>
            </a:r>
          </a:p>
        </c:rich>
      </c:tx>
      <c:layout>
        <c:manualLayout>
          <c:xMode val="edge"/>
          <c:yMode val="edge"/>
          <c:x val="0.59777812585285039"/>
          <c:y val="1.422768007481743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591745354083E-2"/>
          <c:y val="1.8086586348875184E-2"/>
          <c:w val="0.95860482489866983"/>
          <c:h val="0.78277762616564972"/>
        </c:manualLayout>
      </c:layout>
      <c:barChart>
        <c:barDir val="col"/>
        <c:grouping val="clustered"/>
        <c:varyColors val="0"/>
        <c:ser>
          <c:idx val="0"/>
          <c:order val="0"/>
          <c:tx>
            <c:strRef>
              <c:f>GraphPivotData!$B$42:$B$43</c:f>
              <c:strCache>
                <c:ptCount val="1"/>
                <c:pt idx="0">
                  <c:v>Cost of Living Index</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GraphPivotData!$A$44:$A$53</c:f>
              <c:strCache>
                <c:ptCount val="10"/>
                <c:pt idx="0">
                  <c:v>NewYork</c:v>
                </c:pt>
                <c:pt idx="1">
                  <c:v>LosAngeles</c:v>
                </c:pt>
                <c:pt idx="2">
                  <c:v>Chicago.</c:v>
                </c:pt>
                <c:pt idx="3">
                  <c:v>Washington.</c:v>
                </c:pt>
                <c:pt idx="4">
                  <c:v>SanFrancisco</c:v>
                </c:pt>
                <c:pt idx="5">
                  <c:v>Philadelphia.</c:v>
                </c:pt>
                <c:pt idx="6">
                  <c:v>Boston.</c:v>
                </c:pt>
                <c:pt idx="7">
                  <c:v>Detroit.</c:v>
                </c:pt>
                <c:pt idx="8">
                  <c:v>Atlanta.</c:v>
                </c:pt>
                <c:pt idx="9">
                  <c:v>Houston.</c:v>
                </c:pt>
              </c:strCache>
            </c:strRef>
          </c:cat>
          <c:val>
            <c:numRef>
              <c:f>GraphPivotData!$B$44:$B$53</c:f>
              <c:numCache>
                <c:formatCode>General</c:formatCode>
                <c:ptCount val="10"/>
                <c:pt idx="0">
                  <c:v>168.6</c:v>
                </c:pt>
                <c:pt idx="1">
                  <c:v>149</c:v>
                </c:pt>
                <c:pt idx="2">
                  <c:v>119.5</c:v>
                </c:pt>
                <c:pt idx="3">
                  <c:v>155</c:v>
                </c:pt>
                <c:pt idx="4">
                  <c:v>177.6</c:v>
                </c:pt>
                <c:pt idx="5">
                  <c:v>110</c:v>
                </c:pt>
                <c:pt idx="6">
                  <c:v>159.1</c:v>
                </c:pt>
                <c:pt idx="7">
                  <c:v>96.7</c:v>
                </c:pt>
                <c:pt idx="8">
                  <c:v>102.4</c:v>
                </c:pt>
                <c:pt idx="9">
                  <c:v>103</c:v>
                </c:pt>
              </c:numCache>
            </c:numRef>
          </c:val>
          <c:extLst>
            <c:ext xmlns:c16="http://schemas.microsoft.com/office/drawing/2014/chart" uri="{C3380CC4-5D6E-409C-BE32-E72D297353CC}">
              <c16:uniqueId val="{00000000-3A07-4AA2-85F5-9DCD0F9CFF81}"/>
            </c:ext>
          </c:extLst>
        </c:ser>
        <c:dLbls>
          <c:dLblPos val="inEnd"/>
          <c:showLegendKey val="0"/>
          <c:showVal val="1"/>
          <c:showCatName val="0"/>
          <c:showSerName val="0"/>
          <c:showPercent val="0"/>
          <c:showBubbleSize val="0"/>
        </c:dLbls>
        <c:gapWidth val="100"/>
        <c:overlap val="-24"/>
        <c:axId val="1549335039"/>
        <c:axId val="1549310559"/>
      </c:barChart>
      <c:catAx>
        <c:axId val="1549335039"/>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crossAx val="1549310559"/>
        <c:crosses val="autoZero"/>
        <c:auto val="1"/>
        <c:lblAlgn val="ctr"/>
        <c:lblOffset val="100"/>
        <c:noMultiLvlLbl val="0"/>
      </c:catAx>
      <c:valAx>
        <c:axId val="1549310559"/>
        <c:scaling>
          <c:orientation val="minMax"/>
        </c:scaling>
        <c:delete val="0"/>
        <c:axPos val="l"/>
        <c:majorGridlines>
          <c:spPr>
            <a:ln w="12700" cap="flat" cmpd="sng" algn="ctr">
              <a:solidFill>
                <a:schemeClr val="dk1"/>
              </a:solidFill>
              <a:prstDash val="solid"/>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2"/>
                </a:solidFill>
                <a:latin typeface="+mn-lt"/>
                <a:ea typeface="+mn-ea"/>
                <a:cs typeface="+mn-cs"/>
              </a:defRPr>
            </a:pPr>
            <a:endParaRPr lang="en-US"/>
          </a:p>
        </c:txPr>
        <c:crossAx val="1549335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[Group12 Dashboard.xlsm]TaxPivotData!PivotTable4</c:name>
    <c:fmtId val="8"/>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sz="2800">
                <a:solidFill>
                  <a:schemeClr val="tx1"/>
                </a:solidFill>
              </a:rPr>
              <a:t>Tax Rate Checker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TaxPivotData!$B$26</c:f>
              <c:strCache>
                <c:ptCount val="1"/>
                <c:pt idx="0">
                  <c:v>State Tax Rate</c:v>
                </c:pt>
              </c:strCache>
            </c:strRef>
          </c:tx>
          <c:spPr>
            <a:gradFill rotWithShape="1">
              <a:gsLst>
                <a:gs pos="0">
                  <a:schemeClr val="accent2">
                    <a:tint val="65000"/>
                    <a:satMod val="103000"/>
                    <a:lumMod val="102000"/>
                    <a:tint val="94000"/>
                  </a:schemeClr>
                </a:gs>
                <a:gs pos="50000">
                  <a:schemeClr val="accent2">
                    <a:tint val="65000"/>
                    <a:satMod val="110000"/>
                    <a:lumMod val="100000"/>
                    <a:shade val="100000"/>
                  </a:schemeClr>
                </a:gs>
                <a:gs pos="100000">
                  <a:schemeClr val="accent2">
                    <a:tint val="65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TaxPivotData!$A$27:$A$30</c:f>
              <c:strCache>
                <c:ptCount val="3"/>
                <c:pt idx="0">
                  <c:v>Boston</c:v>
                </c:pt>
                <c:pt idx="1">
                  <c:v>Chicago</c:v>
                </c:pt>
                <c:pt idx="2">
                  <c:v>Cincinnati</c:v>
                </c:pt>
              </c:strCache>
            </c:strRef>
          </c:cat>
          <c:val>
            <c:numRef>
              <c:f>TaxPivotData!$B$27:$B$30</c:f>
              <c:numCache>
                <c:formatCode>General</c:formatCode>
                <c:ptCount val="3"/>
                <c:pt idx="0">
                  <c:v>6.25</c:v>
                </c:pt>
                <c:pt idx="1">
                  <c:v>6.25</c:v>
                </c:pt>
                <c:pt idx="2">
                  <c:v>5.75</c:v>
                </c:pt>
              </c:numCache>
            </c:numRef>
          </c:val>
          <c:extLst>
            <c:ext xmlns:c16="http://schemas.microsoft.com/office/drawing/2014/chart" uri="{C3380CC4-5D6E-409C-BE32-E72D297353CC}">
              <c16:uniqueId val="{00000000-82DF-4FD1-8693-425710B66F14}"/>
            </c:ext>
          </c:extLst>
        </c:ser>
        <c:ser>
          <c:idx val="1"/>
          <c:order val="1"/>
          <c:tx>
            <c:strRef>
              <c:f>TaxPivotData!$C$26</c:f>
              <c:strCache>
                <c:ptCount val="1"/>
                <c:pt idx="0">
                  <c:v>Local Tax Rate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TaxPivotData!$A$27:$A$30</c:f>
              <c:strCache>
                <c:ptCount val="3"/>
                <c:pt idx="0">
                  <c:v>Boston</c:v>
                </c:pt>
                <c:pt idx="1">
                  <c:v>Chicago</c:v>
                </c:pt>
                <c:pt idx="2">
                  <c:v>Cincinnati</c:v>
                </c:pt>
              </c:strCache>
            </c:strRef>
          </c:cat>
          <c:val>
            <c:numRef>
              <c:f>TaxPivotData!$C$27:$C$30</c:f>
              <c:numCache>
                <c:formatCode>General</c:formatCode>
                <c:ptCount val="3"/>
                <c:pt idx="0">
                  <c:v>0</c:v>
                </c:pt>
                <c:pt idx="1">
                  <c:v>4</c:v>
                </c:pt>
                <c:pt idx="2">
                  <c:v>1</c:v>
                </c:pt>
              </c:numCache>
            </c:numRef>
          </c:val>
          <c:extLst>
            <c:ext xmlns:c16="http://schemas.microsoft.com/office/drawing/2014/chart" uri="{C3380CC4-5D6E-409C-BE32-E72D297353CC}">
              <c16:uniqueId val="{00000001-82DF-4FD1-8693-425710B66F14}"/>
            </c:ext>
          </c:extLst>
        </c:ser>
        <c:ser>
          <c:idx val="2"/>
          <c:order val="2"/>
          <c:tx>
            <c:strRef>
              <c:f>TaxPivotData!$D$26</c:f>
              <c:strCache>
                <c:ptCount val="1"/>
                <c:pt idx="0">
                  <c:v>Total Tax Rate</c:v>
                </c:pt>
              </c:strCache>
            </c:strRef>
          </c:tx>
          <c:spPr>
            <a:gradFill rotWithShape="1">
              <a:gsLst>
                <a:gs pos="0">
                  <a:schemeClr val="accent2">
                    <a:shade val="65000"/>
                    <a:satMod val="103000"/>
                    <a:lumMod val="102000"/>
                    <a:tint val="94000"/>
                  </a:schemeClr>
                </a:gs>
                <a:gs pos="50000">
                  <a:schemeClr val="accent2">
                    <a:shade val="65000"/>
                    <a:satMod val="110000"/>
                    <a:lumMod val="100000"/>
                    <a:shade val="100000"/>
                  </a:schemeClr>
                </a:gs>
                <a:gs pos="100000">
                  <a:schemeClr val="accent2">
                    <a:shade val="65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TaxPivotData!$A$27:$A$30</c:f>
              <c:strCache>
                <c:ptCount val="3"/>
                <c:pt idx="0">
                  <c:v>Boston</c:v>
                </c:pt>
                <c:pt idx="1">
                  <c:v>Chicago</c:v>
                </c:pt>
                <c:pt idx="2">
                  <c:v>Cincinnati</c:v>
                </c:pt>
              </c:strCache>
            </c:strRef>
          </c:cat>
          <c:val>
            <c:numRef>
              <c:f>TaxPivotData!$D$27:$D$30</c:f>
              <c:numCache>
                <c:formatCode>0.0</c:formatCode>
                <c:ptCount val="3"/>
                <c:pt idx="0">
                  <c:v>6.25</c:v>
                </c:pt>
                <c:pt idx="1">
                  <c:v>10.25</c:v>
                </c:pt>
                <c:pt idx="2">
                  <c:v>6.75</c:v>
                </c:pt>
              </c:numCache>
            </c:numRef>
          </c:val>
          <c:extLst>
            <c:ext xmlns:c16="http://schemas.microsoft.com/office/drawing/2014/chart" uri="{C3380CC4-5D6E-409C-BE32-E72D297353CC}">
              <c16:uniqueId val="{00000002-82DF-4FD1-8693-425710B66F14}"/>
            </c:ext>
          </c:extLst>
        </c:ser>
        <c:dLbls>
          <c:dLblPos val="outEnd"/>
          <c:showLegendKey val="0"/>
          <c:showVal val="1"/>
          <c:showCatName val="0"/>
          <c:showSerName val="0"/>
          <c:showPercent val="0"/>
          <c:showBubbleSize val="0"/>
        </c:dLbls>
        <c:gapWidth val="100"/>
        <c:overlap val="-24"/>
        <c:axId val="1192636192"/>
        <c:axId val="1192625152"/>
      </c:barChart>
      <c:catAx>
        <c:axId val="119263619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2200" b="0" i="0" u="none" strike="noStrike" kern="1200" baseline="0">
                <a:solidFill>
                  <a:schemeClr val="tx2"/>
                </a:solidFill>
                <a:latin typeface="+mn-lt"/>
                <a:ea typeface="+mn-ea"/>
                <a:cs typeface="+mn-cs"/>
              </a:defRPr>
            </a:pPr>
            <a:endParaRPr lang="en-US"/>
          </a:p>
        </c:txPr>
        <c:crossAx val="1192625152"/>
        <c:crosses val="autoZero"/>
        <c:auto val="1"/>
        <c:lblAlgn val="ctr"/>
        <c:lblOffset val="100"/>
        <c:noMultiLvlLbl val="0"/>
      </c:catAx>
      <c:valAx>
        <c:axId val="1192625152"/>
        <c:scaling>
          <c:orientation val="minMax"/>
        </c:scaling>
        <c:delete val="0"/>
        <c:axPos val="l"/>
        <c:majorGridlines>
          <c:spPr>
            <a:ln w="12700" cap="flat" cmpd="sng" algn="ctr">
              <a:solidFill>
                <a:schemeClr val="dk1"/>
              </a:solidFill>
              <a:prstDash val="solid"/>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2"/>
                </a:solidFill>
                <a:latin typeface="+mn-lt"/>
                <a:ea typeface="+mn-ea"/>
                <a:cs typeface="+mn-cs"/>
              </a:defRPr>
            </a:pPr>
            <a:endParaRPr lang="en-US"/>
          </a:p>
        </c:txPr>
        <c:crossAx val="119263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strLit>
              <c:ptCount val="1"/>
              <c:pt idx="0">
                <c:v>New York</c:v>
              </c:pt>
            </c:strLit>
          </c:cat>
          <c:val>
            <c:numLit>
              <c:formatCode>General</c:formatCode>
              <c:ptCount val="1"/>
              <c:pt idx="0">
                <c:v>100</c:v>
              </c:pt>
            </c:numLit>
          </c:val>
          <c:smooth val="0"/>
          <c:extLst>
            <c:ext xmlns:c16="http://schemas.microsoft.com/office/drawing/2014/chart" uri="{C3380CC4-5D6E-409C-BE32-E72D297353CC}">
              <c16:uniqueId val="{00000023-751D-4176-8D69-424689B61606}"/>
            </c:ext>
          </c:extLst>
        </c:ser>
        <c:ser>
          <c:idx val="1"/>
          <c:order val="1"/>
          <c:tx>
            <c:v>Series2</c:v>
          </c:tx>
          <c:spPr>
            <a:ln w="28575" cap="rnd">
              <a:solidFill>
                <a:schemeClr val="accent2"/>
              </a:solidFill>
              <a:round/>
            </a:ln>
            <a:effectLst/>
          </c:spPr>
          <c:marker>
            <c:symbol val="none"/>
          </c:marker>
          <c:cat>
            <c:strLit>
              <c:ptCount val="1"/>
              <c:pt idx="0">
                <c:v>New York</c:v>
              </c:pt>
            </c:strLit>
          </c:cat>
          <c:val>
            <c:numLit>
              <c:formatCode>General</c:formatCode>
              <c:ptCount val="1"/>
              <c:pt idx="0">
                <c:v>200</c:v>
              </c:pt>
            </c:numLit>
          </c:val>
          <c:smooth val="0"/>
          <c:extLst>
            <c:ext xmlns:c16="http://schemas.microsoft.com/office/drawing/2014/chart" uri="{C3380CC4-5D6E-409C-BE32-E72D297353CC}">
              <c16:uniqueId val="{00000024-751D-4176-8D69-424689B61606}"/>
            </c:ext>
          </c:extLst>
        </c:ser>
        <c:ser>
          <c:idx val="2"/>
          <c:order val="2"/>
          <c:tx>
            <c:v>Series3</c:v>
          </c:tx>
          <c:spPr>
            <a:ln w="28575" cap="rnd">
              <a:solidFill>
                <a:schemeClr val="accent3"/>
              </a:solidFill>
              <a:round/>
            </a:ln>
            <a:effectLst/>
          </c:spPr>
          <c:marker>
            <c:symbol val="none"/>
          </c:marker>
          <c:cat>
            <c:strLit>
              <c:ptCount val="1"/>
              <c:pt idx="0">
                <c:v>New York</c:v>
              </c:pt>
            </c:strLit>
          </c:cat>
          <c:val>
            <c:numLit>
              <c:formatCode>General</c:formatCode>
              <c:ptCount val="1"/>
              <c:pt idx="0">
                <c:v>24000</c:v>
              </c:pt>
            </c:numLit>
          </c:val>
          <c:smooth val="0"/>
          <c:extLst>
            <c:ext xmlns:c16="http://schemas.microsoft.com/office/drawing/2014/chart" uri="{C3380CC4-5D6E-409C-BE32-E72D297353CC}">
              <c16:uniqueId val="{00000025-751D-4176-8D69-424689B61606}"/>
            </c:ext>
          </c:extLst>
        </c:ser>
        <c:ser>
          <c:idx val="3"/>
          <c:order val="3"/>
          <c:tx>
            <c:v>Series4</c:v>
          </c:tx>
          <c:spPr>
            <a:ln w="28575" cap="rnd">
              <a:solidFill>
                <a:schemeClr val="accent4"/>
              </a:solidFill>
              <a:round/>
            </a:ln>
            <a:effectLst/>
          </c:spPr>
          <c:marker>
            <c:symbol val="none"/>
          </c:marker>
          <c:cat>
            <c:strLit>
              <c:ptCount val="1"/>
              <c:pt idx="0">
                <c:v>New York</c:v>
              </c:pt>
            </c:strLit>
          </c:cat>
          <c:val>
            <c:numLit>
              <c:formatCode>General</c:formatCode>
              <c:ptCount val="1"/>
              <c:pt idx="0">
                <c:v>100</c:v>
              </c:pt>
            </c:numLit>
          </c:val>
          <c:smooth val="0"/>
          <c:extLst>
            <c:ext xmlns:c16="http://schemas.microsoft.com/office/drawing/2014/chart" uri="{C3380CC4-5D6E-409C-BE32-E72D297353CC}">
              <c16:uniqueId val="{00000026-751D-4176-8D69-424689B61606}"/>
            </c:ext>
          </c:extLst>
        </c:ser>
        <c:ser>
          <c:idx val="4"/>
          <c:order val="4"/>
          <c:tx>
            <c:v>Series5</c:v>
          </c:tx>
          <c:spPr>
            <a:ln w="28575" cap="rnd">
              <a:solidFill>
                <a:schemeClr val="accent5"/>
              </a:solidFill>
              <a:round/>
            </a:ln>
            <a:effectLst/>
          </c:spPr>
          <c:marker>
            <c:symbol val="none"/>
          </c:marker>
          <c:cat>
            <c:strLit>
              <c:ptCount val="1"/>
              <c:pt idx="0">
                <c:v>New York</c:v>
              </c:pt>
            </c:strLit>
          </c:cat>
          <c:val>
            <c:numLit>
              <c:formatCode>General</c:formatCode>
              <c:ptCount val="1"/>
              <c:pt idx="0">
                <c:v>1700</c:v>
              </c:pt>
            </c:numLit>
          </c:val>
          <c:smooth val="0"/>
          <c:extLst>
            <c:ext xmlns:c16="http://schemas.microsoft.com/office/drawing/2014/chart" uri="{C3380CC4-5D6E-409C-BE32-E72D297353CC}">
              <c16:uniqueId val="{00000027-751D-4176-8D69-424689B61606}"/>
            </c:ext>
          </c:extLst>
        </c:ser>
        <c:ser>
          <c:idx val="5"/>
          <c:order val="5"/>
          <c:tx>
            <c:v>Series6</c:v>
          </c:tx>
          <c:spPr>
            <a:ln w="28575" cap="rnd">
              <a:solidFill>
                <a:schemeClr val="accent6"/>
              </a:solidFill>
              <a:round/>
            </a:ln>
            <a:effectLst/>
          </c:spPr>
          <c:marker>
            <c:symbol val="none"/>
          </c:marker>
          <c:cat>
            <c:strLit>
              <c:ptCount val="1"/>
              <c:pt idx="0">
                <c:v>New York</c:v>
              </c:pt>
            </c:strLit>
          </c:cat>
          <c:val>
            <c:numLit>
              <c:formatCode>General</c:formatCode>
              <c:ptCount val="1"/>
              <c:pt idx="0">
                <c:v>10</c:v>
              </c:pt>
            </c:numLit>
          </c:val>
          <c:smooth val="0"/>
          <c:extLst>
            <c:ext xmlns:c16="http://schemas.microsoft.com/office/drawing/2014/chart" uri="{C3380CC4-5D6E-409C-BE32-E72D297353CC}">
              <c16:uniqueId val="{00000028-751D-4176-8D69-424689B61606}"/>
            </c:ext>
          </c:extLst>
        </c:ser>
        <c:ser>
          <c:idx val="6"/>
          <c:order val="6"/>
          <c:tx>
            <c:v>Series7</c:v>
          </c:tx>
          <c:spPr>
            <a:ln w="28575" cap="rnd">
              <a:solidFill>
                <a:schemeClr val="accent1">
                  <a:lumMod val="60000"/>
                </a:schemeClr>
              </a:solidFill>
              <a:round/>
            </a:ln>
            <a:effectLst/>
          </c:spPr>
          <c:marker>
            <c:symbol val="none"/>
          </c:marker>
          <c:cat>
            <c:strLit>
              <c:ptCount val="1"/>
              <c:pt idx="0">
                <c:v>New York</c:v>
              </c:pt>
            </c:strLit>
          </c:cat>
          <c:val>
            <c:numLit>
              <c:formatCode>General</c:formatCode>
              <c:ptCount val="1"/>
              <c:pt idx="0">
                <c:v>8.7198480000000007</c:v>
              </c:pt>
            </c:numLit>
          </c:val>
          <c:smooth val="0"/>
          <c:extLst>
            <c:ext xmlns:c16="http://schemas.microsoft.com/office/drawing/2014/chart" uri="{C3380CC4-5D6E-409C-BE32-E72D297353CC}">
              <c16:uniqueId val="{00000029-751D-4176-8D69-424689B61606}"/>
            </c:ext>
          </c:extLst>
        </c:ser>
        <c:dLbls>
          <c:showLegendKey val="0"/>
          <c:showVal val="0"/>
          <c:showCatName val="0"/>
          <c:showSerName val="0"/>
          <c:showPercent val="0"/>
          <c:showBubbleSize val="0"/>
        </c:dLbls>
        <c:smooth val="0"/>
        <c:axId val="884472943"/>
        <c:axId val="884460943"/>
      </c:lineChart>
      <c:catAx>
        <c:axId val="88447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460943"/>
        <c:crosses val="autoZero"/>
        <c:auto val="1"/>
        <c:lblAlgn val="ctr"/>
        <c:lblOffset val="100"/>
        <c:noMultiLvlLbl val="0"/>
      </c:catAx>
      <c:valAx>
        <c:axId val="88446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472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18" Type="http://schemas.openxmlformats.org/officeDocument/2006/relationships/image" Target="../media/image16.svg"/><Relationship Id="rId26" Type="http://schemas.openxmlformats.org/officeDocument/2006/relationships/image" Target="../media/image24.svg"/><Relationship Id="rId3" Type="http://schemas.openxmlformats.org/officeDocument/2006/relationships/image" Target="../media/image1.png"/><Relationship Id="rId21" Type="http://schemas.openxmlformats.org/officeDocument/2006/relationships/image" Target="../media/image19.png"/><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15.png"/><Relationship Id="rId25" Type="http://schemas.openxmlformats.org/officeDocument/2006/relationships/image" Target="../media/image23.png"/><Relationship Id="rId2" Type="http://schemas.openxmlformats.org/officeDocument/2006/relationships/chart" Target="../charts/chart2.xml"/><Relationship Id="rId16" Type="http://schemas.openxmlformats.org/officeDocument/2006/relationships/image" Target="../media/image14.svg"/><Relationship Id="rId20"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image" Target="../media/image9.png"/><Relationship Id="rId24" Type="http://schemas.openxmlformats.org/officeDocument/2006/relationships/image" Target="../media/image22.svg"/><Relationship Id="rId5" Type="http://schemas.openxmlformats.org/officeDocument/2006/relationships/image" Target="../media/image3.png"/><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8.svg"/><Relationship Id="rId19" Type="http://schemas.openxmlformats.org/officeDocument/2006/relationships/image" Target="../media/image17.png"/><Relationship Id="rId4" Type="http://schemas.openxmlformats.org/officeDocument/2006/relationships/image" Target="../media/image2.svg"/><Relationship Id="rId9" Type="http://schemas.openxmlformats.org/officeDocument/2006/relationships/image" Target="../media/image7.png"/><Relationship Id="rId14" Type="http://schemas.openxmlformats.org/officeDocument/2006/relationships/image" Target="../media/image12.svg"/><Relationship Id="rId22" Type="http://schemas.openxmlformats.org/officeDocument/2006/relationships/image" Target="../media/image20.svg"/><Relationship Id="rId27" Type="http://schemas.openxmlformats.org/officeDocument/2006/relationships/image" Target="../media/image25.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21616</xdr:rowOff>
    </xdr:from>
    <xdr:to>
      <xdr:col>3</xdr:col>
      <xdr:colOff>577273</xdr:colOff>
      <xdr:row>27</xdr:row>
      <xdr:rowOff>193342</xdr:rowOff>
    </xdr:to>
    <mc:AlternateContent xmlns:mc="http://schemas.openxmlformats.org/markup-compatibility/2006" xmlns:a14="http://schemas.microsoft.com/office/drawing/2010/main">
      <mc:Choice Requires="a14">
        <xdr:graphicFrame macro="">
          <xdr:nvGraphicFramePr>
            <xdr:cNvPr id="3" name="Metropolitan Area 5">
              <a:extLst>
                <a:ext uri="{FF2B5EF4-FFF2-40B4-BE49-F238E27FC236}">
                  <a16:creationId xmlns:a16="http://schemas.microsoft.com/office/drawing/2014/main" id="{F999AC7E-8D14-4977-963A-9D4D9DF8045F}"/>
                </a:ext>
              </a:extLst>
            </xdr:cNvPr>
            <xdr:cNvGraphicFramePr/>
          </xdr:nvGraphicFramePr>
          <xdr:xfrm>
            <a:off x="0" y="0"/>
            <a:ext cx="0" cy="0"/>
          </xdr:xfrm>
          <a:graphic>
            <a:graphicData uri="http://schemas.microsoft.com/office/drawing/2010/slicer">
              <sle:slicer xmlns:sle="http://schemas.microsoft.com/office/drawing/2010/slicer" name="Metropolitan Area 5"/>
            </a:graphicData>
          </a:graphic>
        </xdr:graphicFrame>
      </mc:Choice>
      <mc:Fallback xmlns="">
        <xdr:sp macro="" textlink="">
          <xdr:nvSpPr>
            <xdr:cNvPr id="0" name=""/>
            <xdr:cNvSpPr>
              <a:spLocks noTextEdit="1"/>
            </xdr:cNvSpPr>
          </xdr:nvSpPr>
          <xdr:spPr>
            <a:xfrm>
              <a:off x="0" y="1531239"/>
              <a:ext cx="2388820" cy="45136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136478</xdr:colOff>
      <xdr:row>7</xdr:row>
      <xdr:rowOff>10963</xdr:rowOff>
    </xdr:from>
    <xdr:to>
      <xdr:col>23</xdr:col>
      <xdr:colOff>531059</xdr:colOff>
      <xdr:row>27</xdr:row>
      <xdr:rowOff>209825</xdr:rowOff>
    </xdr:to>
    <xdr:graphicFrame macro="">
      <xdr:nvGraphicFramePr>
        <xdr:cNvPr id="5" name="Chart 3">
          <a:extLst>
            <a:ext uri="{FF2B5EF4-FFF2-40B4-BE49-F238E27FC236}">
              <a16:creationId xmlns:a16="http://schemas.microsoft.com/office/drawing/2014/main" id="{5ED7E7A0-36EC-31A5-4FE1-1AC2787130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1</xdr:colOff>
      <xdr:row>1</xdr:row>
      <xdr:rowOff>0</xdr:rowOff>
    </xdr:from>
    <xdr:ext cx="25132392" cy="1260763"/>
    <xdr:sp macro="" textlink="">
      <xdr:nvSpPr>
        <xdr:cNvPr id="6" name="Rectangle 5">
          <a:extLst>
            <a:ext uri="{FF2B5EF4-FFF2-40B4-BE49-F238E27FC236}">
              <a16:creationId xmlns:a16="http://schemas.microsoft.com/office/drawing/2014/main" id="{FF37611A-EA2E-5EED-E2D2-3EADF293F8C9}"/>
            </a:ext>
          </a:extLst>
        </xdr:cNvPr>
        <xdr:cNvSpPr/>
      </xdr:nvSpPr>
      <xdr:spPr>
        <a:xfrm>
          <a:off x="1" y="217714"/>
          <a:ext cx="25132392" cy="1260763"/>
        </a:xfrm>
        <a:prstGeom prst="rect">
          <a:avLst/>
        </a:prstGeom>
        <a:gradFill flip="none" rotWithShape="1">
          <a:gsLst>
            <a:gs pos="0">
              <a:schemeClr val="tx2">
                <a:shade val="30000"/>
                <a:satMod val="115000"/>
              </a:schemeClr>
            </a:gs>
            <a:gs pos="50000">
              <a:schemeClr val="tx2">
                <a:shade val="67500"/>
                <a:satMod val="115000"/>
              </a:schemeClr>
            </a:gs>
            <a:gs pos="100000">
              <a:schemeClr val="tx2">
                <a:shade val="100000"/>
                <a:satMod val="115000"/>
              </a:schemeClr>
            </a:gs>
          </a:gsLst>
          <a:lin ang="5400000" scaled="1"/>
          <a:tileRect/>
        </a:gradFill>
      </xdr:spPr>
      <xdr:style>
        <a:lnRef idx="2">
          <a:schemeClr val="accent2"/>
        </a:lnRef>
        <a:fillRef idx="1">
          <a:schemeClr val="lt1"/>
        </a:fillRef>
        <a:effectRef idx="0">
          <a:schemeClr val="accent2"/>
        </a:effectRef>
        <a:fontRef idx="minor">
          <a:schemeClr val="dk1"/>
        </a:fontRef>
      </xdr:style>
      <xdr:txBody>
        <a:bodyPr wrap="square" lIns="91440" tIns="45720" rIns="91440" bIns="45720" anchor="ctr">
          <a:noAutofit/>
        </a:bodyPr>
        <a:lstStyle/>
        <a:p>
          <a:pPr algn="ctr"/>
          <a:r>
            <a:rPr lang="en-US" sz="5400" b="1" cap="none" spc="0">
              <a:ln w="9525">
                <a:solidFill>
                  <a:schemeClr val="bg1"/>
                </a:solidFill>
                <a:prstDash val="solid"/>
              </a:ln>
              <a:solidFill>
                <a:schemeClr val="bg1"/>
              </a:solidFill>
              <a:effectLst>
                <a:outerShdw blurRad="12700" dist="38100" dir="2700000" algn="tl" rotWithShape="0">
                  <a:schemeClr val="bg1">
                    <a:lumMod val="50000"/>
                  </a:schemeClr>
                </a:outerShdw>
              </a:effectLst>
            </a:rPr>
            <a:t>Skyline Stats: Navigate Urban Life</a:t>
          </a:r>
        </a:p>
      </xdr:txBody>
    </xdr:sp>
    <xdr:clientData/>
  </xdr:oneCellAnchor>
  <xdr:twoCellAnchor>
    <xdr:from>
      <xdr:col>4</xdr:col>
      <xdr:colOff>113731</xdr:colOff>
      <xdr:row>29</xdr:row>
      <xdr:rowOff>1335</xdr:rowOff>
    </xdr:from>
    <xdr:to>
      <xdr:col>23</xdr:col>
      <xdr:colOff>531060</xdr:colOff>
      <xdr:row>46</xdr:row>
      <xdr:rowOff>204718</xdr:rowOff>
    </xdr:to>
    <xdr:graphicFrame macro="">
      <xdr:nvGraphicFramePr>
        <xdr:cNvPr id="2" name="Chart 4">
          <a:extLst>
            <a:ext uri="{FF2B5EF4-FFF2-40B4-BE49-F238E27FC236}">
              <a16:creationId xmlns:a16="http://schemas.microsoft.com/office/drawing/2014/main" id="{B427B558-C66B-1278-32C9-44CBD567A7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29</xdr:row>
      <xdr:rowOff>1336</xdr:rowOff>
    </xdr:from>
    <xdr:to>
      <xdr:col>4</xdr:col>
      <xdr:colOff>3</xdr:colOff>
      <xdr:row>47</xdr:row>
      <xdr:rowOff>2</xdr:rowOff>
    </xdr:to>
    <mc:AlternateContent xmlns:mc="http://schemas.openxmlformats.org/markup-compatibility/2006" xmlns:a14="http://schemas.microsoft.com/office/drawing/2010/main">
      <mc:Choice Requires="a14">
        <xdr:graphicFrame macro="">
          <xdr:nvGraphicFramePr>
            <xdr:cNvPr id="7" name="Metropolitan Area 2">
              <a:extLst>
                <a:ext uri="{FF2B5EF4-FFF2-40B4-BE49-F238E27FC236}">
                  <a16:creationId xmlns:a16="http://schemas.microsoft.com/office/drawing/2014/main" id="{CBD74F9B-8B2D-1B86-89D4-3C12299F24A7}"/>
                </a:ext>
              </a:extLst>
            </xdr:cNvPr>
            <xdr:cNvGraphicFramePr/>
          </xdr:nvGraphicFramePr>
          <xdr:xfrm>
            <a:off x="0" y="0"/>
            <a:ext cx="0" cy="0"/>
          </xdr:xfrm>
          <a:graphic>
            <a:graphicData uri="http://schemas.microsoft.com/office/drawing/2010/slicer">
              <sle:slicer xmlns:sle="http://schemas.microsoft.com/office/drawing/2010/slicer" name="Metropolitan Area 2"/>
            </a:graphicData>
          </a:graphic>
        </xdr:graphicFrame>
      </mc:Choice>
      <mc:Fallback xmlns="">
        <xdr:sp macro="" textlink="">
          <xdr:nvSpPr>
            <xdr:cNvPr id="0" name=""/>
            <xdr:cNvSpPr>
              <a:spLocks noTextEdit="1"/>
            </xdr:cNvSpPr>
          </xdr:nvSpPr>
          <xdr:spPr>
            <a:xfrm>
              <a:off x="0" y="6284242"/>
              <a:ext cx="2415399" cy="37224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336826</xdr:colOff>
      <xdr:row>22</xdr:row>
      <xdr:rowOff>16565</xdr:rowOff>
    </xdr:from>
    <xdr:to>
      <xdr:col>26</xdr:col>
      <xdr:colOff>336826</xdr:colOff>
      <xdr:row>25</xdr:row>
      <xdr:rowOff>198782</xdr:rowOff>
    </xdr:to>
    <xdr:pic>
      <xdr:nvPicPr>
        <xdr:cNvPr id="9" name="Graphic 8" descr="Dragon dance">
          <a:extLst>
            <a:ext uri="{FF2B5EF4-FFF2-40B4-BE49-F238E27FC236}">
              <a16:creationId xmlns:a16="http://schemas.microsoft.com/office/drawing/2014/main" id="{CE4E0DC5-1BE0-9938-E04A-A81C67CBBBB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399565" y="4654826"/>
          <a:ext cx="1347304" cy="745435"/>
        </a:xfrm>
        <a:prstGeom prst="rect">
          <a:avLst/>
        </a:prstGeom>
      </xdr:spPr>
    </xdr:pic>
    <xdr:clientData/>
  </xdr:twoCellAnchor>
  <xdr:twoCellAnchor editAs="oneCell">
    <xdr:from>
      <xdr:col>27</xdr:col>
      <xdr:colOff>524564</xdr:colOff>
      <xdr:row>21</xdr:row>
      <xdr:rowOff>110435</xdr:rowOff>
    </xdr:from>
    <xdr:to>
      <xdr:col>29</xdr:col>
      <xdr:colOff>191051</xdr:colOff>
      <xdr:row>26</xdr:row>
      <xdr:rowOff>69574</xdr:rowOff>
    </xdr:to>
    <xdr:pic>
      <xdr:nvPicPr>
        <xdr:cNvPr id="11" name="Graphic 10" descr="Theatre">
          <a:extLst>
            <a:ext uri="{FF2B5EF4-FFF2-40B4-BE49-F238E27FC236}">
              <a16:creationId xmlns:a16="http://schemas.microsoft.com/office/drawing/2014/main" id="{A1DDBC2A-BA3C-7633-058D-33D3366460E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8564086" y="4572000"/>
          <a:ext cx="914400" cy="914400"/>
        </a:xfrm>
        <a:prstGeom prst="rect">
          <a:avLst/>
        </a:prstGeom>
      </xdr:spPr>
    </xdr:pic>
    <xdr:clientData/>
  </xdr:twoCellAnchor>
  <xdr:twoCellAnchor editAs="oneCell">
    <xdr:from>
      <xdr:col>30</xdr:col>
      <xdr:colOff>579358</xdr:colOff>
      <xdr:row>21</xdr:row>
      <xdr:rowOff>99390</xdr:rowOff>
    </xdr:from>
    <xdr:to>
      <xdr:col>32</xdr:col>
      <xdr:colOff>181793</xdr:colOff>
      <xdr:row>25</xdr:row>
      <xdr:rowOff>209825</xdr:rowOff>
    </xdr:to>
    <xdr:pic>
      <xdr:nvPicPr>
        <xdr:cNvPr id="13" name="Graphic 12" descr="Waiter">
          <a:extLst>
            <a:ext uri="{FF2B5EF4-FFF2-40B4-BE49-F238E27FC236}">
              <a16:creationId xmlns:a16="http://schemas.microsoft.com/office/drawing/2014/main" id="{FA6BDCB5-41CE-0E00-F8F0-E4732A9A7EC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0200858" y="4832582"/>
          <a:ext cx="833358" cy="843128"/>
        </a:xfrm>
        <a:prstGeom prst="rect">
          <a:avLst/>
        </a:prstGeom>
      </xdr:spPr>
    </xdr:pic>
    <xdr:clientData/>
  </xdr:twoCellAnchor>
  <xdr:twoCellAnchor editAs="oneCell">
    <xdr:from>
      <xdr:col>33</xdr:col>
      <xdr:colOff>512884</xdr:colOff>
      <xdr:row>21</xdr:row>
      <xdr:rowOff>71782</xdr:rowOff>
    </xdr:from>
    <xdr:to>
      <xdr:col>35</xdr:col>
      <xdr:colOff>178059</xdr:colOff>
      <xdr:row>26</xdr:row>
      <xdr:rowOff>30921</xdr:rowOff>
    </xdr:to>
    <xdr:pic>
      <xdr:nvPicPr>
        <xdr:cNvPr id="15" name="Graphic 14" descr="Park scene">
          <a:extLst>
            <a:ext uri="{FF2B5EF4-FFF2-40B4-BE49-F238E27FC236}">
              <a16:creationId xmlns:a16="http://schemas.microsoft.com/office/drawing/2014/main" id="{085FAAFE-02D2-1EB4-510D-6807998A9AD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2024730" y="4804974"/>
          <a:ext cx="896098" cy="911639"/>
        </a:xfrm>
        <a:prstGeom prst="rect">
          <a:avLst/>
        </a:prstGeom>
      </xdr:spPr>
    </xdr:pic>
    <xdr:clientData/>
  </xdr:twoCellAnchor>
  <xdr:twoCellAnchor editAs="oneCell">
    <xdr:from>
      <xdr:col>36</xdr:col>
      <xdr:colOff>392043</xdr:colOff>
      <xdr:row>20</xdr:row>
      <xdr:rowOff>154609</xdr:rowOff>
    </xdr:from>
    <xdr:to>
      <xdr:col>38</xdr:col>
      <xdr:colOff>259522</xdr:colOff>
      <xdr:row>26</xdr:row>
      <xdr:rowOff>138045</xdr:rowOff>
    </xdr:to>
    <xdr:pic>
      <xdr:nvPicPr>
        <xdr:cNvPr id="17" name="Graphic 16" descr="Party mask">
          <a:extLst>
            <a:ext uri="{FF2B5EF4-FFF2-40B4-BE49-F238E27FC236}">
              <a16:creationId xmlns:a16="http://schemas.microsoft.com/office/drawing/2014/main" id="{771AA881-DC9E-CD0A-15EA-5CB84EE084A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4096869" y="4439479"/>
          <a:ext cx="1115392" cy="1115392"/>
        </a:xfrm>
        <a:prstGeom prst="rect">
          <a:avLst/>
        </a:prstGeom>
      </xdr:spPr>
    </xdr:pic>
    <xdr:clientData/>
  </xdr:twoCellAnchor>
  <xdr:twoCellAnchor editAs="oneCell">
    <xdr:from>
      <xdr:col>2</xdr:col>
      <xdr:colOff>558564</xdr:colOff>
      <xdr:row>7</xdr:row>
      <xdr:rowOff>414525</xdr:rowOff>
    </xdr:from>
    <xdr:to>
      <xdr:col>3</xdr:col>
      <xdr:colOff>376786</xdr:colOff>
      <xdr:row>10</xdr:row>
      <xdr:rowOff>37748</xdr:rowOff>
    </xdr:to>
    <xdr:pic>
      <xdr:nvPicPr>
        <xdr:cNvPr id="19" name="Graphic 18" descr="Coins">
          <a:extLst>
            <a:ext uri="{FF2B5EF4-FFF2-40B4-BE49-F238E27FC236}">
              <a16:creationId xmlns:a16="http://schemas.microsoft.com/office/drawing/2014/main" id="{7E321BC7-5FEA-106E-8E4A-5015FDC57F4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777764" y="1918205"/>
          <a:ext cx="427822" cy="466503"/>
        </a:xfrm>
        <a:prstGeom prst="rect">
          <a:avLst/>
        </a:prstGeom>
      </xdr:spPr>
    </xdr:pic>
    <xdr:clientData/>
  </xdr:twoCellAnchor>
  <xdr:twoCellAnchor editAs="oneCell">
    <xdr:from>
      <xdr:col>2</xdr:col>
      <xdr:colOff>551683</xdr:colOff>
      <xdr:row>10</xdr:row>
      <xdr:rowOff>82456</xdr:rowOff>
    </xdr:from>
    <xdr:to>
      <xdr:col>3</xdr:col>
      <xdr:colOff>410610</xdr:colOff>
      <xdr:row>12</xdr:row>
      <xdr:rowOff>151334</xdr:rowOff>
    </xdr:to>
    <xdr:pic>
      <xdr:nvPicPr>
        <xdr:cNvPr id="21" name="Graphic 20" descr="Handcuffs">
          <a:extLst>
            <a:ext uri="{FF2B5EF4-FFF2-40B4-BE49-F238E27FC236}">
              <a16:creationId xmlns:a16="http://schemas.microsoft.com/office/drawing/2014/main" id="{3AC3C9E8-4A49-0700-A4B5-F638370BE45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70883" y="2429416"/>
          <a:ext cx="468527" cy="495598"/>
        </a:xfrm>
        <a:prstGeom prst="rect">
          <a:avLst/>
        </a:prstGeom>
      </xdr:spPr>
    </xdr:pic>
    <xdr:clientData/>
  </xdr:twoCellAnchor>
  <xdr:twoCellAnchor editAs="oneCell">
    <xdr:from>
      <xdr:col>2</xdr:col>
      <xdr:colOff>522983</xdr:colOff>
      <xdr:row>12</xdr:row>
      <xdr:rowOff>152845</xdr:rowOff>
    </xdr:from>
    <xdr:to>
      <xdr:col>3</xdr:col>
      <xdr:colOff>450558</xdr:colOff>
      <xdr:row>15</xdr:row>
      <xdr:rowOff>93578</xdr:rowOff>
    </xdr:to>
    <xdr:pic>
      <xdr:nvPicPr>
        <xdr:cNvPr id="23" name="Graphic 22" descr="Group">
          <a:extLst>
            <a:ext uri="{FF2B5EF4-FFF2-40B4-BE49-F238E27FC236}">
              <a16:creationId xmlns:a16="http://schemas.microsoft.com/office/drawing/2014/main" id="{66762CF7-F545-B9D1-B2B4-46464CBE5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742183" y="2926525"/>
          <a:ext cx="537175" cy="580813"/>
        </a:xfrm>
        <a:prstGeom prst="rect">
          <a:avLst/>
        </a:prstGeom>
      </xdr:spPr>
    </xdr:pic>
    <xdr:clientData/>
  </xdr:twoCellAnchor>
  <xdr:twoCellAnchor editAs="oneCell">
    <xdr:from>
      <xdr:col>2</xdr:col>
      <xdr:colOff>557300</xdr:colOff>
      <xdr:row>15</xdr:row>
      <xdr:rowOff>108185</xdr:rowOff>
    </xdr:from>
    <xdr:to>
      <xdr:col>3</xdr:col>
      <xdr:colOff>367958</xdr:colOff>
      <xdr:row>17</xdr:row>
      <xdr:rowOff>133370</xdr:rowOff>
    </xdr:to>
    <xdr:pic>
      <xdr:nvPicPr>
        <xdr:cNvPr id="24" name="Graphic 1" descr="Briefcase">
          <a:extLst>
            <a:ext uri="{FF2B5EF4-FFF2-40B4-BE49-F238E27FC236}">
              <a16:creationId xmlns:a16="http://schemas.microsoft.com/office/drawing/2014/main" id="{BB04D9B8-C4D0-5265-72F0-08A0A4E7BAF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776500" y="3521945"/>
          <a:ext cx="420258" cy="451905"/>
        </a:xfrm>
        <a:prstGeom prst="rect">
          <a:avLst/>
        </a:prstGeom>
      </xdr:spPr>
    </xdr:pic>
    <xdr:clientData/>
  </xdr:twoCellAnchor>
  <xdr:twoCellAnchor editAs="oneCell">
    <xdr:from>
      <xdr:col>2</xdr:col>
      <xdr:colOff>558260</xdr:colOff>
      <xdr:row>17</xdr:row>
      <xdr:rowOff>188294</xdr:rowOff>
    </xdr:from>
    <xdr:to>
      <xdr:col>3</xdr:col>
      <xdr:colOff>403800</xdr:colOff>
      <xdr:row>20</xdr:row>
      <xdr:rowOff>51863</xdr:rowOff>
    </xdr:to>
    <xdr:pic>
      <xdr:nvPicPr>
        <xdr:cNvPr id="26" name="Graphic 25" descr="Ribbon">
          <a:extLst>
            <a:ext uri="{FF2B5EF4-FFF2-40B4-BE49-F238E27FC236}">
              <a16:creationId xmlns:a16="http://schemas.microsoft.com/office/drawing/2014/main" id="{0CB46009-8000-8677-8133-DF9053443B1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77460" y="4028774"/>
          <a:ext cx="455140" cy="473169"/>
        </a:xfrm>
        <a:prstGeom prst="rect">
          <a:avLst/>
        </a:prstGeom>
      </xdr:spPr>
    </xdr:pic>
    <xdr:clientData/>
  </xdr:twoCellAnchor>
  <xdr:twoCellAnchor editAs="oneCell">
    <xdr:from>
      <xdr:col>2</xdr:col>
      <xdr:colOff>552186</xdr:colOff>
      <xdr:row>20</xdr:row>
      <xdr:rowOff>95535</xdr:rowOff>
    </xdr:from>
    <xdr:to>
      <xdr:col>3</xdr:col>
      <xdr:colOff>423471</xdr:colOff>
      <xdr:row>23</xdr:row>
      <xdr:rowOff>61512</xdr:rowOff>
    </xdr:to>
    <xdr:pic>
      <xdr:nvPicPr>
        <xdr:cNvPr id="28" name="Graphic 27" descr="Dance">
          <a:extLst>
            <a:ext uri="{FF2B5EF4-FFF2-40B4-BE49-F238E27FC236}">
              <a16:creationId xmlns:a16="http://schemas.microsoft.com/office/drawing/2014/main" id="{CC32AD2B-0AAE-97DE-18EB-BC15FF4BB22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771386" y="4545615"/>
          <a:ext cx="480885" cy="514617"/>
        </a:xfrm>
        <a:prstGeom prst="rect">
          <a:avLst/>
        </a:prstGeom>
      </xdr:spPr>
    </xdr:pic>
    <xdr:clientData/>
  </xdr:twoCellAnchor>
  <xdr:twoCellAnchor editAs="oneCell">
    <xdr:from>
      <xdr:col>2</xdr:col>
      <xdr:colOff>582852</xdr:colOff>
      <xdr:row>23</xdr:row>
      <xdr:rowOff>112992</xdr:rowOff>
    </xdr:from>
    <xdr:to>
      <xdr:col>3</xdr:col>
      <xdr:colOff>389263</xdr:colOff>
      <xdr:row>25</xdr:row>
      <xdr:rowOff>180479</xdr:rowOff>
    </xdr:to>
    <xdr:pic>
      <xdr:nvPicPr>
        <xdr:cNvPr id="30" name="Graphic 29" descr="Document">
          <a:extLst>
            <a:ext uri="{FF2B5EF4-FFF2-40B4-BE49-F238E27FC236}">
              <a16:creationId xmlns:a16="http://schemas.microsoft.com/office/drawing/2014/main" id="{70B1664F-EED7-6234-13A1-6177985AFFF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802052" y="5111712"/>
          <a:ext cx="416011" cy="453567"/>
        </a:xfrm>
        <a:prstGeom prst="rect">
          <a:avLst/>
        </a:prstGeom>
      </xdr:spPr>
    </xdr:pic>
    <xdr:clientData/>
  </xdr:twoCellAnchor>
  <xdr:twoCellAnchor editAs="oneCell">
    <xdr:from>
      <xdr:col>37</xdr:col>
      <xdr:colOff>281093</xdr:colOff>
      <xdr:row>29</xdr:row>
      <xdr:rowOff>26547</xdr:rowOff>
    </xdr:from>
    <xdr:to>
      <xdr:col>38</xdr:col>
      <xdr:colOff>365760</xdr:colOff>
      <xdr:row>32</xdr:row>
      <xdr:rowOff>90652</xdr:rowOff>
    </xdr:to>
    <xdr:pic macro="[0]!ClearTop5">
      <xdr:nvPicPr>
        <xdr:cNvPr id="14" name="Graphic 13" descr="Back with solid fill">
          <a:extLst>
            <a:ext uri="{FF2B5EF4-FFF2-40B4-BE49-F238E27FC236}">
              <a16:creationId xmlns:a16="http://schemas.microsoft.com/office/drawing/2014/main" id="{EEE4CA2E-D539-446A-B280-02C8EBD671A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4096133" y="6305427"/>
          <a:ext cx="694267" cy="704185"/>
        </a:xfrm>
        <a:prstGeom prst="rect">
          <a:avLst/>
        </a:prstGeom>
      </xdr:spPr>
    </xdr:pic>
    <xdr:clientData/>
  </xdr:twoCellAnchor>
  <xdr:twoCellAnchor>
    <xdr:from>
      <xdr:col>24</xdr:col>
      <xdr:colOff>97191</xdr:colOff>
      <xdr:row>33</xdr:row>
      <xdr:rowOff>178472</xdr:rowOff>
    </xdr:from>
    <xdr:to>
      <xdr:col>25</xdr:col>
      <xdr:colOff>453112</xdr:colOff>
      <xdr:row>38</xdr:row>
      <xdr:rowOff>132234</xdr:rowOff>
    </xdr:to>
    <xdr:sp macro="[0]!CostTop5" textlink="">
      <xdr:nvSpPr>
        <xdr:cNvPr id="36" name="Hexagon 35">
          <a:extLst>
            <a:ext uri="{FF2B5EF4-FFF2-40B4-BE49-F238E27FC236}">
              <a16:creationId xmlns:a16="http://schemas.microsoft.com/office/drawing/2014/main" id="{AAFEF6D2-6E26-41C8-96E1-073F929E7BB4}"/>
            </a:ext>
          </a:extLst>
        </xdr:cNvPr>
        <xdr:cNvSpPr/>
      </xdr:nvSpPr>
      <xdr:spPr>
        <a:xfrm>
          <a:off x="15814711" y="7280312"/>
          <a:ext cx="1067121" cy="898642"/>
        </a:xfrm>
        <a:prstGeom prst="hexagon">
          <a:avLst/>
        </a:prstGeom>
        <a:gradFill>
          <a:gsLst>
            <a:gs pos="0">
              <a:schemeClr val="accent1">
                <a:lumMod val="5000"/>
                <a:lumOff val="95000"/>
              </a:schemeClr>
            </a:gs>
            <a:gs pos="100000">
              <a:schemeClr val="accent1">
                <a:lumMod val="45000"/>
                <a:lumOff val="55000"/>
              </a:schemeClr>
            </a:gs>
            <a:gs pos="0">
              <a:schemeClr val="accent1"/>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kern="1200">
              <a:solidFill>
                <a:sysClr val="windowText" lastClr="000000"/>
              </a:solidFill>
              <a:latin typeface="Segoe UI" panose="020B0502040204020203" pitchFamily="34" charset="0"/>
              <a:cs typeface="Segoe UI" panose="020B0502040204020203" pitchFamily="34" charset="0"/>
            </a:rPr>
            <a:t>Cost of Living</a:t>
          </a:r>
        </a:p>
      </xdr:txBody>
    </xdr:sp>
    <xdr:clientData/>
  </xdr:twoCellAnchor>
  <xdr:twoCellAnchor>
    <xdr:from>
      <xdr:col>24</xdr:col>
      <xdr:colOff>111760</xdr:colOff>
      <xdr:row>39</xdr:row>
      <xdr:rowOff>40640</xdr:rowOff>
    </xdr:from>
    <xdr:to>
      <xdr:col>25</xdr:col>
      <xdr:colOff>460972</xdr:colOff>
      <xdr:row>43</xdr:row>
      <xdr:rowOff>93850</xdr:rowOff>
    </xdr:to>
    <xdr:sp macro="[0]!JobTop5" textlink="">
      <xdr:nvSpPr>
        <xdr:cNvPr id="38" name="Hexagon 37">
          <a:extLst>
            <a:ext uri="{FF2B5EF4-FFF2-40B4-BE49-F238E27FC236}">
              <a16:creationId xmlns:a16="http://schemas.microsoft.com/office/drawing/2014/main" id="{F6D27125-7AE2-468F-847C-290E9F9E7AB0}"/>
            </a:ext>
          </a:extLst>
        </xdr:cNvPr>
        <xdr:cNvSpPr/>
      </xdr:nvSpPr>
      <xdr:spPr>
        <a:xfrm>
          <a:off x="15829280" y="8300720"/>
          <a:ext cx="1060412" cy="916810"/>
        </a:xfrm>
        <a:prstGeom prst="hexagon">
          <a:avLst/>
        </a:prstGeom>
        <a:gradFill>
          <a:gsLst>
            <a:gs pos="0">
              <a:schemeClr val="accent1">
                <a:lumMod val="5000"/>
                <a:lumOff val="95000"/>
              </a:schemeClr>
            </a:gs>
            <a:gs pos="100000">
              <a:schemeClr val="accent1">
                <a:lumMod val="45000"/>
                <a:lumOff val="55000"/>
              </a:schemeClr>
            </a:gs>
            <a:gs pos="0">
              <a:schemeClr val="accent1"/>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kern="1200">
              <a:solidFill>
                <a:sysClr val="windowText" lastClr="000000"/>
              </a:solidFill>
              <a:latin typeface="Segoe UI" panose="020B0502040204020203" pitchFamily="34" charset="0"/>
              <a:ea typeface="+mn-ea"/>
              <a:cs typeface="Segoe UI" panose="020B0502040204020203" pitchFamily="34" charset="0"/>
            </a:rPr>
            <a:t>Job Market Score</a:t>
          </a:r>
        </a:p>
      </xdr:txBody>
    </xdr:sp>
    <xdr:clientData/>
  </xdr:twoCellAnchor>
  <xdr:twoCellAnchor>
    <xdr:from>
      <xdr:col>25</xdr:col>
      <xdr:colOff>355600</xdr:colOff>
      <xdr:row>41</xdr:row>
      <xdr:rowOff>81280</xdr:rowOff>
    </xdr:from>
    <xdr:to>
      <xdr:col>27</xdr:col>
      <xdr:colOff>170189</xdr:colOff>
      <xdr:row>45</xdr:row>
      <xdr:rowOff>134490</xdr:rowOff>
    </xdr:to>
    <xdr:sp macro="[0]!IndianTop5" textlink="">
      <xdr:nvSpPr>
        <xdr:cNvPr id="40" name="Hexagon 39">
          <a:extLst>
            <a:ext uri="{FF2B5EF4-FFF2-40B4-BE49-F238E27FC236}">
              <a16:creationId xmlns:a16="http://schemas.microsoft.com/office/drawing/2014/main" id="{EC530D4B-5BDD-4EA8-B397-EDFA24AF8827}"/>
            </a:ext>
          </a:extLst>
        </xdr:cNvPr>
        <xdr:cNvSpPr/>
      </xdr:nvSpPr>
      <xdr:spPr>
        <a:xfrm>
          <a:off x="16784320" y="8778240"/>
          <a:ext cx="1043949" cy="916810"/>
        </a:xfrm>
        <a:prstGeom prst="hexagon">
          <a:avLst/>
        </a:prstGeom>
        <a:gradFill>
          <a:gsLst>
            <a:gs pos="0">
              <a:schemeClr val="accent1">
                <a:lumMod val="5000"/>
                <a:lumOff val="95000"/>
              </a:schemeClr>
            </a:gs>
            <a:gs pos="100000">
              <a:schemeClr val="accent1">
                <a:lumMod val="45000"/>
                <a:lumOff val="55000"/>
              </a:schemeClr>
            </a:gs>
            <a:gs pos="0">
              <a:schemeClr val="accent1"/>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kern="1200">
              <a:solidFill>
                <a:sysClr val="windowText" lastClr="000000"/>
              </a:solidFill>
              <a:latin typeface="Segoe UI" panose="020B0502040204020203" pitchFamily="34" charset="0"/>
              <a:ea typeface="+mn-ea"/>
              <a:cs typeface="Segoe UI" panose="020B0502040204020203" pitchFamily="34" charset="0"/>
            </a:rPr>
            <a:t>Indian Pop %</a:t>
          </a:r>
        </a:p>
      </xdr:txBody>
    </xdr:sp>
    <xdr:clientData/>
  </xdr:twoCellAnchor>
  <xdr:twoCellAnchor>
    <xdr:from>
      <xdr:col>27</xdr:col>
      <xdr:colOff>81280</xdr:colOff>
      <xdr:row>39</xdr:row>
      <xdr:rowOff>60960</xdr:rowOff>
    </xdr:from>
    <xdr:to>
      <xdr:col>28</xdr:col>
      <xdr:colOff>532792</xdr:colOff>
      <xdr:row>43</xdr:row>
      <xdr:rowOff>114170</xdr:rowOff>
    </xdr:to>
    <xdr:sp macro="[0]!CrimeTop5" textlink="">
      <xdr:nvSpPr>
        <xdr:cNvPr id="42" name="Hexagon 41">
          <a:extLst>
            <a:ext uri="{FF2B5EF4-FFF2-40B4-BE49-F238E27FC236}">
              <a16:creationId xmlns:a16="http://schemas.microsoft.com/office/drawing/2014/main" id="{4B091358-22BB-4A9C-8BB7-BBE467013FA0}"/>
            </a:ext>
          </a:extLst>
        </xdr:cNvPr>
        <xdr:cNvSpPr/>
      </xdr:nvSpPr>
      <xdr:spPr>
        <a:xfrm>
          <a:off x="17739360" y="8321040"/>
          <a:ext cx="1061112" cy="916810"/>
        </a:xfrm>
        <a:prstGeom prst="hexagon">
          <a:avLst/>
        </a:prstGeom>
        <a:gradFill>
          <a:gsLst>
            <a:gs pos="0">
              <a:schemeClr val="accent1">
                <a:lumMod val="5000"/>
                <a:lumOff val="95000"/>
              </a:schemeClr>
            </a:gs>
            <a:gs pos="100000">
              <a:schemeClr val="accent1">
                <a:lumMod val="45000"/>
                <a:lumOff val="55000"/>
              </a:schemeClr>
            </a:gs>
            <a:gs pos="0">
              <a:schemeClr val="accent1"/>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kern="1200">
              <a:solidFill>
                <a:sysClr val="windowText" lastClr="000000"/>
              </a:solidFill>
              <a:latin typeface="Segoe UI" panose="020B0502040204020203" pitchFamily="34" charset="0"/>
              <a:ea typeface="+mn-ea"/>
              <a:cs typeface="Segoe UI" panose="020B0502040204020203" pitchFamily="34" charset="0"/>
            </a:rPr>
            <a:t>Crime Rate per 100k</a:t>
          </a:r>
        </a:p>
      </xdr:txBody>
    </xdr:sp>
    <xdr:clientData/>
  </xdr:twoCellAnchor>
  <xdr:twoCellAnchor>
    <xdr:from>
      <xdr:col>27</xdr:col>
      <xdr:colOff>81280</xdr:colOff>
      <xdr:row>34</xdr:row>
      <xdr:rowOff>10160</xdr:rowOff>
    </xdr:from>
    <xdr:to>
      <xdr:col>28</xdr:col>
      <xdr:colOff>532792</xdr:colOff>
      <xdr:row>38</xdr:row>
      <xdr:rowOff>166931</xdr:rowOff>
    </xdr:to>
    <xdr:sp macro="[0]!OverallTop5" textlink="">
      <xdr:nvSpPr>
        <xdr:cNvPr id="44" name="Hexagon 43">
          <a:extLst>
            <a:ext uri="{FF2B5EF4-FFF2-40B4-BE49-F238E27FC236}">
              <a16:creationId xmlns:a16="http://schemas.microsoft.com/office/drawing/2014/main" id="{662C1364-390C-4EC9-85D2-92B1A9F7899C}"/>
            </a:ext>
          </a:extLst>
        </xdr:cNvPr>
        <xdr:cNvSpPr/>
      </xdr:nvSpPr>
      <xdr:spPr>
        <a:xfrm>
          <a:off x="17739360" y="7294880"/>
          <a:ext cx="1061112" cy="918771"/>
        </a:xfrm>
        <a:prstGeom prst="hexagon">
          <a:avLst/>
        </a:prstGeom>
        <a:gradFill>
          <a:gsLst>
            <a:gs pos="0">
              <a:schemeClr val="accent1">
                <a:lumMod val="5000"/>
                <a:lumOff val="95000"/>
              </a:schemeClr>
            </a:gs>
            <a:gs pos="100000">
              <a:schemeClr val="accent1">
                <a:lumMod val="45000"/>
                <a:lumOff val="55000"/>
              </a:schemeClr>
            </a:gs>
            <a:gs pos="0">
              <a:schemeClr val="accent1"/>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kern="1200">
              <a:solidFill>
                <a:sysClr val="windowText" lastClr="000000"/>
              </a:solidFill>
              <a:latin typeface="Segoe UI" panose="020B0502040204020203" pitchFamily="34" charset="0"/>
              <a:ea typeface="+mn-ea"/>
              <a:cs typeface="Segoe UI" panose="020B0502040204020203" pitchFamily="34" charset="0"/>
            </a:rPr>
            <a:t>Overall Rating</a:t>
          </a:r>
        </a:p>
      </xdr:txBody>
    </xdr:sp>
    <xdr:clientData/>
  </xdr:twoCellAnchor>
  <xdr:oneCellAnchor>
    <xdr:from>
      <xdr:col>37</xdr:col>
      <xdr:colOff>314960</xdr:colOff>
      <xdr:row>28</xdr:row>
      <xdr:rowOff>162560</xdr:rowOff>
    </xdr:from>
    <xdr:ext cx="611451" cy="295850"/>
    <xdr:sp macro="" textlink="">
      <xdr:nvSpPr>
        <xdr:cNvPr id="45" name="TextBox 44">
          <a:extLst>
            <a:ext uri="{FF2B5EF4-FFF2-40B4-BE49-F238E27FC236}">
              <a16:creationId xmlns:a16="http://schemas.microsoft.com/office/drawing/2014/main" id="{8ABCEDB2-E243-667E-E2CF-B5F1196B8796}"/>
            </a:ext>
          </a:extLst>
        </xdr:cNvPr>
        <xdr:cNvSpPr txBox="1"/>
      </xdr:nvSpPr>
      <xdr:spPr>
        <a:xfrm>
          <a:off x="24130000" y="6217920"/>
          <a:ext cx="611451"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1" kern="1200"/>
            <a:t>Reset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171450</xdr:colOff>
      <xdr:row>4</xdr:row>
      <xdr:rowOff>88900</xdr:rowOff>
    </xdr:from>
    <xdr:to>
      <xdr:col>9</xdr:col>
      <xdr:colOff>279400</xdr:colOff>
      <xdr:row>20</xdr:row>
      <xdr:rowOff>31750</xdr:rowOff>
    </xdr:to>
    <xdr:graphicFrame macro="">
      <xdr:nvGraphicFramePr>
        <xdr:cNvPr id="2" name="Chart 1">
          <a:extLst>
            <a:ext uri="{FF2B5EF4-FFF2-40B4-BE49-F238E27FC236}">
              <a16:creationId xmlns:a16="http://schemas.microsoft.com/office/drawing/2014/main" id="{FF69E2A9-1224-433D-9BAA-B090780E1E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488862</xdr:colOff>
      <xdr:row>25</xdr:row>
      <xdr:rowOff>23590</xdr:rowOff>
    </xdr:from>
    <xdr:to>
      <xdr:col>5</xdr:col>
      <xdr:colOff>313686</xdr:colOff>
      <xdr:row>39</xdr:row>
      <xdr:rowOff>60665</xdr:rowOff>
    </xdr:to>
    <mc:AlternateContent xmlns:mc="http://schemas.openxmlformats.org/markup-compatibility/2006" xmlns:a14="http://schemas.microsoft.com/office/drawing/2010/main">
      <mc:Choice Requires="a14">
        <xdr:graphicFrame macro="">
          <xdr:nvGraphicFramePr>
            <xdr:cNvPr id="2" name="Metropolitan Area 4">
              <a:extLst>
                <a:ext uri="{FF2B5EF4-FFF2-40B4-BE49-F238E27FC236}">
                  <a16:creationId xmlns:a16="http://schemas.microsoft.com/office/drawing/2014/main" id="{6F7C77AF-CD6F-CE40-4453-282173491C11}"/>
                </a:ext>
              </a:extLst>
            </xdr:cNvPr>
            <xdr:cNvGraphicFramePr/>
          </xdr:nvGraphicFramePr>
          <xdr:xfrm>
            <a:off x="0" y="0"/>
            <a:ext cx="0" cy="0"/>
          </xdr:xfrm>
          <a:graphic>
            <a:graphicData uri="http://schemas.microsoft.com/office/drawing/2010/slicer">
              <sle:slicer xmlns:sle="http://schemas.microsoft.com/office/drawing/2010/slicer" name="Metropolitan Area 4"/>
            </a:graphicData>
          </a:graphic>
        </xdr:graphicFrame>
      </mc:Choice>
      <mc:Fallback xmlns="">
        <xdr:sp macro="" textlink="">
          <xdr:nvSpPr>
            <xdr:cNvPr id="0" name=""/>
            <xdr:cNvSpPr>
              <a:spLocks noTextEdit="1"/>
            </xdr:cNvSpPr>
          </xdr:nvSpPr>
          <xdr:spPr>
            <a:xfrm>
              <a:off x="4006467" y="4675334"/>
              <a:ext cx="1809568" cy="26420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arun\Downloads\Book1%20(1).xlsx" TargetMode="External"/><Relationship Id="rId1" Type="http://schemas.openxmlformats.org/officeDocument/2006/relationships/externalLinkPath" Target="Book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et"/>
      <sheetName val="Normalized Dataset"/>
      <sheetName val="Dashboard"/>
      <sheetName val="RecDashData"/>
      <sheetName val="Dashboardv1.1"/>
      <sheetName val="Sources"/>
      <sheetName val="TRIAL"/>
    </sheetNames>
    <sheetDataSet>
      <sheetData sheetId="0">
        <row r="2">
          <cell r="B2">
            <v>1.89</v>
          </cell>
          <cell r="C2">
            <v>4</v>
          </cell>
          <cell r="D2">
            <v>4.875</v>
          </cell>
          <cell r="E2">
            <v>8.875</v>
          </cell>
          <cell r="F2">
            <v>540</v>
          </cell>
          <cell r="G2">
            <v>168.6</v>
          </cell>
          <cell r="H2">
            <v>4</v>
          </cell>
          <cell r="J2">
            <v>1700</v>
          </cell>
          <cell r="K2">
            <v>100</v>
          </cell>
          <cell r="L2">
            <v>10</v>
          </cell>
          <cell r="M2">
            <v>24000</v>
          </cell>
          <cell r="N2">
            <v>200</v>
          </cell>
          <cell r="O2">
            <v>100</v>
          </cell>
        </row>
        <row r="3">
          <cell r="B3">
            <v>0.64</v>
          </cell>
          <cell r="C3">
            <v>7.25</v>
          </cell>
          <cell r="D3">
            <v>1.5</v>
          </cell>
          <cell r="E3">
            <v>8.75</v>
          </cell>
          <cell r="F3">
            <v>748</v>
          </cell>
          <cell r="G3">
            <v>149</v>
          </cell>
          <cell r="H3">
            <v>3.5</v>
          </cell>
          <cell r="J3">
            <v>450</v>
          </cell>
          <cell r="K3">
            <v>200</v>
          </cell>
          <cell r="L3">
            <v>10</v>
          </cell>
          <cell r="M3">
            <v>29000</v>
          </cell>
          <cell r="N3">
            <v>80</v>
          </cell>
          <cell r="O3">
            <v>50</v>
          </cell>
        </row>
        <row r="4">
          <cell r="B4">
            <v>1.28</v>
          </cell>
          <cell r="C4">
            <v>6.25</v>
          </cell>
          <cell r="D4">
            <v>4</v>
          </cell>
          <cell r="E4">
            <v>10.25</v>
          </cell>
          <cell r="F4">
            <v>1099</v>
          </cell>
          <cell r="G4">
            <v>119.5</v>
          </cell>
          <cell r="H4">
            <v>3.8</v>
          </cell>
          <cell r="J4">
            <v>600</v>
          </cell>
          <cell r="K4">
            <v>60</v>
          </cell>
          <cell r="L4">
            <v>9</v>
          </cell>
          <cell r="M4">
            <v>7500</v>
          </cell>
          <cell r="N4">
            <v>200</v>
          </cell>
          <cell r="O4">
            <v>50</v>
          </cell>
        </row>
        <row r="5">
          <cell r="B5">
            <v>1.1599999999999999</v>
          </cell>
          <cell r="C5">
            <v>6</v>
          </cell>
          <cell r="D5">
            <v>0</v>
          </cell>
          <cell r="E5">
            <v>6</v>
          </cell>
          <cell r="F5">
            <v>1049</v>
          </cell>
          <cell r="G5">
            <v>155</v>
          </cell>
          <cell r="H5">
            <v>4.2</v>
          </cell>
          <cell r="J5">
            <v>300</v>
          </cell>
          <cell r="K5">
            <v>70</v>
          </cell>
          <cell r="L5">
            <v>8</v>
          </cell>
          <cell r="M5">
            <v>2200</v>
          </cell>
          <cell r="N5">
            <v>90</v>
          </cell>
          <cell r="O5">
            <v>60</v>
          </cell>
        </row>
        <row r="6">
          <cell r="B6">
            <v>2.0499999999999998</v>
          </cell>
          <cell r="C6">
            <v>7.25</v>
          </cell>
          <cell r="D6">
            <v>1.25</v>
          </cell>
          <cell r="E6">
            <v>8.5</v>
          </cell>
          <cell r="F6">
            <v>669</v>
          </cell>
          <cell r="G6">
            <v>177.6</v>
          </cell>
          <cell r="H6">
            <v>4.5</v>
          </cell>
          <cell r="J6">
            <v>220</v>
          </cell>
          <cell r="K6">
            <v>50</v>
          </cell>
          <cell r="L6">
            <v>8</v>
          </cell>
          <cell r="M6">
            <v>4500</v>
          </cell>
          <cell r="N6">
            <v>50</v>
          </cell>
          <cell r="O6">
            <v>40</v>
          </cell>
        </row>
        <row r="7">
          <cell r="B7">
            <v>0.85</v>
          </cell>
          <cell r="C7">
            <v>6</v>
          </cell>
          <cell r="D7">
            <v>2</v>
          </cell>
          <cell r="E7">
            <v>8</v>
          </cell>
          <cell r="F7">
            <v>908</v>
          </cell>
          <cell r="G7">
            <v>110</v>
          </cell>
          <cell r="H7">
            <v>3.7</v>
          </cell>
          <cell r="J7">
            <v>300</v>
          </cell>
          <cell r="K7">
            <v>100</v>
          </cell>
          <cell r="L7">
            <v>8</v>
          </cell>
          <cell r="M7">
            <v>6000</v>
          </cell>
          <cell r="N7">
            <v>50</v>
          </cell>
          <cell r="O7">
            <v>30</v>
          </cell>
        </row>
        <row r="8">
          <cell r="B8">
            <v>0.75</v>
          </cell>
          <cell r="C8">
            <v>6.25</v>
          </cell>
          <cell r="D8">
            <v>0</v>
          </cell>
          <cell r="E8">
            <v>6.25</v>
          </cell>
          <cell r="F8">
            <v>622</v>
          </cell>
          <cell r="G8">
            <v>159.1</v>
          </cell>
          <cell r="H8">
            <v>4.3</v>
          </cell>
          <cell r="J8">
            <v>200</v>
          </cell>
          <cell r="K8">
            <v>60</v>
          </cell>
          <cell r="L8">
            <v>7</v>
          </cell>
          <cell r="M8">
            <v>3000</v>
          </cell>
          <cell r="N8">
            <v>40</v>
          </cell>
          <cell r="O8">
            <v>25</v>
          </cell>
        </row>
        <row r="9">
          <cell r="B9">
            <v>0.84</v>
          </cell>
          <cell r="C9">
            <v>6</v>
          </cell>
          <cell r="D9">
            <v>0</v>
          </cell>
          <cell r="E9">
            <v>6</v>
          </cell>
          <cell r="F9">
            <v>2007</v>
          </cell>
          <cell r="G9">
            <v>96.7</v>
          </cell>
          <cell r="H9">
            <v>2.8</v>
          </cell>
          <cell r="J9">
            <v>300</v>
          </cell>
          <cell r="K9">
            <v>30</v>
          </cell>
          <cell r="L9">
            <v>8</v>
          </cell>
          <cell r="M9">
            <v>1500</v>
          </cell>
          <cell r="N9">
            <v>20</v>
          </cell>
          <cell r="O9">
            <v>20</v>
          </cell>
        </row>
        <row r="10">
          <cell r="B10">
            <v>0.95</v>
          </cell>
          <cell r="C10">
            <v>6.25</v>
          </cell>
          <cell r="D10">
            <v>2</v>
          </cell>
          <cell r="E10">
            <v>8.25</v>
          </cell>
          <cell r="F10">
            <v>762</v>
          </cell>
          <cell r="G10">
            <v>107</v>
          </cell>
          <cell r="H10">
            <v>4.0999999999999996</v>
          </cell>
          <cell r="J10">
            <v>400</v>
          </cell>
          <cell r="K10">
            <v>80</v>
          </cell>
          <cell r="L10">
            <v>8</v>
          </cell>
          <cell r="M10">
            <v>6000</v>
          </cell>
          <cell r="N10">
            <v>60</v>
          </cell>
          <cell r="O10">
            <v>30</v>
          </cell>
        </row>
        <row r="11">
          <cell r="B11">
            <v>1.1100000000000001</v>
          </cell>
          <cell r="C11">
            <v>6.25</v>
          </cell>
          <cell r="D11">
            <v>2</v>
          </cell>
          <cell r="E11">
            <v>8.25</v>
          </cell>
          <cell r="F11">
            <v>1026</v>
          </cell>
          <cell r="G11">
            <v>103</v>
          </cell>
          <cell r="H11">
            <v>4</v>
          </cell>
          <cell r="J11">
            <v>370</v>
          </cell>
          <cell r="K11">
            <v>150</v>
          </cell>
          <cell r="L11">
            <v>8</v>
          </cell>
          <cell r="M11">
            <v>10000</v>
          </cell>
          <cell r="N11">
            <v>50</v>
          </cell>
          <cell r="O11">
            <v>20</v>
          </cell>
        </row>
        <row r="12">
          <cell r="B12">
            <v>0.9</v>
          </cell>
          <cell r="C12">
            <v>4</v>
          </cell>
          <cell r="D12">
            <v>4</v>
          </cell>
          <cell r="E12">
            <v>8</v>
          </cell>
          <cell r="F12">
            <v>1433</v>
          </cell>
          <cell r="G12">
            <v>102.4</v>
          </cell>
          <cell r="H12">
            <v>4.2</v>
          </cell>
          <cell r="J12">
            <v>300</v>
          </cell>
          <cell r="K12">
            <v>75</v>
          </cell>
          <cell r="L12">
            <v>9</v>
          </cell>
          <cell r="M12">
            <v>3500</v>
          </cell>
          <cell r="N12">
            <v>30</v>
          </cell>
          <cell r="O12">
            <v>25</v>
          </cell>
        </row>
        <row r="13">
          <cell r="B13">
            <v>0.61</v>
          </cell>
          <cell r="C13">
            <v>6</v>
          </cell>
          <cell r="D13">
            <v>1</v>
          </cell>
          <cell r="E13">
            <v>7</v>
          </cell>
          <cell r="F13">
            <v>629</v>
          </cell>
          <cell r="G13">
            <v>122</v>
          </cell>
          <cell r="H13">
            <v>4</v>
          </cell>
          <cell r="J13">
            <v>250</v>
          </cell>
          <cell r="K13">
            <v>50</v>
          </cell>
          <cell r="L13">
            <v>10</v>
          </cell>
          <cell r="M13">
            <v>4000</v>
          </cell>
          <cell r="N13">
            <v>30</v>
          </cell>
          <cell r="O13">
            <v>20</v>
          </cell>
        </row>
        <row r="14">
          <cell r="B14">
            <v>0.56999999999999995</v>
          </cell>
          <cell r="C14">
            <v>6.5</v>
          </cell>
          <cell r="D14">
            <v>3</v>
          </cell>
          <cell r="E14">
            <v>9.5</v>
          </cell>
          <cell r="F14">
            <v>620</v>
          </cell>
          <cell r="G14">
            <v>152.4</v>
          </cell>
          <cell r="H14">
            <v>4.5</v>
          </cell>
          <cell r="J14">
            <v>400</v>
          </cell>
          <cell r="K14">
            <v>60</v>
          </cell>
          <cell r="L14">
            <v>7</v>
          </cell>
          <cell r="M14">
            <v>3000</v>
          </cell>
          <cell r="N14">
            <v>40</v>
          </cell>
          <cell r="O14">
            <v>25</v>
          </cell>
        </row>
        <row r="15">
          <cell r="B15">
            <v>0.35</v>
          </cell>
          <cell r="C15">
            <v>6.6</v>
          </cell>
          <cell r="D15">
            <v>2.7</v>
          </cell>
          <cell r="E15">
            <v>9.3000000000000007</v>
          </cell>
          <cell r="F15">
            <v>733</v>
          </cell>
          <cell r="G15">
            <v>113</v>
          </cell>
          <cell r="H15">
            <v>4</v>
          </cell>
          <cell r="J15">
            <v>200</v>
          </cell>
          <cell r="K15">
            <v>40</v>
          </cell>
          <cell r="L15">
            <v>7</v>
          </cell>
          <cell r="M15">
            <v>2500</v>
          </cell>
          <cell r="N15">
            <v>20</v>
          </cell>
          <cell r="O15">
            <v>15</v>
          </cell>
        </row>
        <row r="16">
          <cell r="B16">
            <v>0.49</v>
          </cell>
          <cell r="C16">
            <v>6.875</v>
          </cell>
          <cell r="D16">
            <v>0.9</v>
          </cell>
          <cell r="E16">
            <v>7.7750000000000004</v>
          </cell>
          <cell r="F16">
            <v>1101</v>
          </cell>
          <cell r="G16">
            <v>109</v>
          </cell>
          <cell r="H16">
            <v>4.2</v>
          </cell>
          <cell r="J16">
            <v>350</v>
          </cell>
          <cell r="K16">
            <v>50</v>
          </cell>
          <cell r="L16">
            <v>7</v>
          </cell>
          <cell r="M16">
            <v>2800</v>
          </cell>
          <cell r="N16">
            <v>30</v>
          </cell>
          <cell r="O16">
            <v>20</v>
          </cell>
        </row>
        <row r="17">
          <cell r="B17">
            <v>0.43</v>
          </cell>
          <cell r="C17">
            <v>5.5</v>
          </cell>
          <cell r="D17">
            <v>2.25</v>
          </cell>
          <cell r="E17">
            <v>7.75</v>
          </cell>
          <cell r="F17">
            <v>1517</v>
          </cell>
          <cell r="G17">
            <v>89.4</v>
          </cell>
          <cell r="H17">
            <v>3.2</v>
          </cell>
          <cell r="J17">
            <v>150</v>
          </cell>
          <cell r="K17">
            <v>30</v>
          </cell>
          <cell r="L17">
            <v>7</v>
          </cell>
          <cell r="M17">
            <v>1200</v>
          </cell>
          <cell r="N17">
            <v>20</v>
          </cell>
          <cell r="O17">
            <v>15</v>
          </cell>
        </row>
        <row r="18">
          <cell r="B18">
            <v>0.36</v>
          </cell>
          <cell r="C18">
            <v>7.25</v>
          </cell>
          <cell r="D18">
            <v>1</v>
          </cell>
          <cell r="E18">
            <v>8.25</v>
          </cell>
          <cell r="F18">
            <v>369</v>
          </cell>
          <cell r="G18">
            <v>144.6</v>
          </cell>
          <cell r="H18">
            <v>4.2</v>
          </cell>
          <cell r="J18">
            <v>340</v>
          </cell>
          <cell r="K18">
            <v>70</v>
          </cell>
          <cell r="L18">
            <v>8</v>
          </cell>
          <cell r="M18">
            <v>4500</v>
          </cell>
          <cell r="N18">
            <v>50</v>
          </cell>
          <cell r="O18">
            <v>30</v>
          </cell>
        </row>
        <row r="19">
          <cell r="B19">
            <v>0.32</v>
          </cell>
          <cell r="C19">
            <v>4.2249999999999996</v>
          </cell>
          <cell r="D19">
            <v>4.266</v>
          </cell>
          <cell r="E19">
            <v>8.4909999999999997</v>
          </cell>
          <cell r="F19">
            <v>1800</v>
          </cell>
          <cell r="G19">
            <v>96.5</v>
          </cell>
          <cell r="H19">
            <v>3.4</v>
          </cell>
          <cell r="J19">
            <v>200</v>
          </cell>
          <cell r="K19">
            <v>40</v>
          </cell>
          <cell r="L19">
            <v>7</v>
          </cell>
          <cell r="M19">
            <v>2000</v>
          </cell>
          <cell r="N19">
            <v>25</v>
          </cell>
          <cell r="O19">
            <v>20</v>
          </cell>
        </row>
        <row r="20">
          <cell r="B20">
            <v>0.34</v>
          </cell>
          <cell r="C20">
            <v>2.9</v>
          </cell>
          <cell r="D20">
            <v>5.0999999999999996</v>
          </cell>
          <cell r="E20">
            <v>8</v>
          </cell>
          <cell r="F20">
            <v>730</v>
          </cell>
          <cell r="G20">
            <v>128.69999999999999</v>
          </cell>
          <cell r="H20">
            <v>4.3</v>
          </cell>
          <cell r="J20">
            <v>250</v>
          </cell>
          <cell r="K20">
            <v>50</v>
          </cell>
          <cell r="L20">
            <v>8</v>
          </cell>
          <cell r="M20">
            <v>2500</v>
          </cell>
          <cell r="N20">
            <v>30</v>
          </cell>
          <cell r="O20">
            <v>25</v>
          </cell>
        </row>
        <row r="21">
          <cell r="B21">
            <v>0.45</v>
          </cell>
          <cell r="C21">
            <v>6</v>
          </cell>
          <cell r="D21">
            <v>1.5</v>
          </cell>
          <cell r="E21">
            <v>7.5</v>
          </cell>
          <cell r="F21">
            <v>428</v>
          </cell>
          <cell r="G21">
            <v>100.6</v>
          </cell>
          <cell r="H21">
            <v>4</v>
          </cell>
          <cell r="J21">
            <v>200</v>
          </cell>
          <cell r="K21">
            <v>40</v>
          </cell>
          <cell r="L21">
            <v>7</v>
          </cell>
          <cell r="M21">
            <v>2000</v>
          </cell>
          <cell r="N21">
            <v>20</v>
          </cell>
          <cell r="O21">
            <v>15</v>
          </cell>
        </row>
        <row r="22">
          <cell r="B22">
            <v>0.37</v>
          </cell>
          <cell r="C22">
            <v>6</v>
          </cell>
          <cell r="D22">
            <v>1</v>
          </cell>
          <cell r="E22">
            <v>7</v>
          </cell>
          <cell r="F22">
            <v>610</v>
          </cell>
          <cell r="G22">
            <v>92</v>
          </cell>
          <cell r="H22">
            <v>3.6</v>
          </cell>
          <cell r="J22">
            <v>165</v>
          </cell>
          <cell r="K22">
            <v>35</v>
          </cell>
          <cell r="L22">
            <v>7</v>
          </cell>
          <cell r="M22">
            <v>1500</v>
          </cell>
          <cell r="N22">
            <v>20</v>
          </cell>
          <cell r="O22">
            <v>15</v>
          </cell>
        </row>
        <row r="23">
          <cell r="B23">
            <v>0.38</v>
          </cell>
          <cell r="C23">
            <v>0</v>
          </cell>
          <cell r="D23">
            <v>0</v>
          </cell>
          <cell r="E23">
            <v>0</v>
          </cell>
          <cell r="F23">
            <v>522</v>
          </cell>
          <cell r="G23">
            <v>125.5</v>
          </cell>
          <cell r="H23">
            <v>4.2</v>
          </cell>
          <cell r="J23">
            <v>275</v>
          </cell>
          <cell r="K23">
            <v>50</v>
          </cell>
          <cell r="L23">
            <v>8</v>
          </cell>
          <cell r="M23">
            <v>2800</v>
          </cell>
          <cell r="N23">
            <v>30</v>
          </cell>
          <cell r="O23">
            <v>20</v>
          </cell>
        </row>
        <row r="24">
          <cell r="B24">
            <v>0.4</v>
          </cell>
          <cell r="C24">
            <v>5.75</v>
          </cell>
          <cell r="D24">
            <v>1</v>
          </cell>
          <cell r="E24">
            <v>6.75</v>
          </cell>
          <cell r="F24">
            <v>897</v>
          </cell>
          <cell r="G24">
            <v>89.7</v>
          </cell>
          <cell r="H24">
            <v>3.7</v>
          </cell>
          <cell r="J24">
            <v>150</v>
          </cell>
          <cell r="K24">
            <v>30</v>
          </cell>
          <cell r="L24">
            <v>7</v>
          </cell>
          <cell r="M24">
            <v>1200</v>
          </cell>
          <cell r="N24">
            <v>20</v>
          </cell>
          <cell r="O24">
            <v>15</v>
          </cell>
        </row>
        <row r="25">
          <cell r="B25">
            <v>0.95</v>
          </cell>
          <cell r="C25">
            <v>7.25</v>
          </cell>
          <cell r="D25">
            <v>1</v>
          </cell>
          <cell r="E25">
            <v>8.25</v>
          </cell>
          <cell r="F25">
            <v>712</v>
          </cell>
          <cell r="G25">
            <v>118.5</v>
          </cell>
          <cell r="H25">
            <v>3.9</v>
          </cell>
          <cell r="J25">
            <v>220</v>
          </cell>
          <cell r="K25">
            <v>40</v>
          </cell>
          <cell r="L25">
            <v>6</v>
          </cell>
          <cell r="M25">
            <v>2000</v>
          </cell>
          <cell r="N25">
            <v>20</v>
          </cell>
          <cell r="O25">
            <v>15</v>
          </cell>
        </row>
        <row r="26">
          <cell r="B26">
            <v>0.34</v>
          </cell>
          <cell r="C26">
            <v>4.2249999999999996</v>
          </cell>
          <cell r="D26">
            <v>3.625</v>
          </cell>
          <cell r="E26">
            <v>7.85</v>
          </cell>
          <cell r="F26">
            <v>1590</v>
          </cell>
          <cell r="G26">
            <v>94.8</v>
          </cell>
          <cell r="H26">
            <v>3.8</v>
          </cell>
          <cell r="J26">
            <v>220</v>
          </cell>
          <cell r="K26">
            <v>40</v>
          </cell>
          <cell r="L26">
            <v>7</v>
          </cell>
          <cell r="M26">
            <v>2000</v>
          </cell>
          <cell r="N26">
            <v>25</v>
          </cell>
          <cell r="O26">
            <v>20</v>
          </cell>
        </row>
        <row r="27">
          <cell r="B27">
            <v>0.42</v>
          </cell>
          <cell r="C27">
            <v>5</v>
          </cell>
          <cell r="D27">
            <v>0.5</v>
          </cell>
          <cell r="E27">
            <v>5.5</v>
          </cell>
          <cell r="F27">
            <v>1332</v>
          </cell>
          <cell r="G27">
            <v>92</v>
          </cell>
          <cell r="H27">
            <v>3.5</v>
          </cell>
          <cell r="J27">
            <v>140</v>
          </cell>
          <cell r="K27">
            <v>30</v>
          </cell>
          <cell r="L27">
            <v>7</v>
          </cell>
          <cell r="M27">
            <v>1200</v>
          </cell>
          <cell r="N27">
            <v>20</v>
          </cell>
          <cell r="O27">
            <v>15</v>
          </cell>
        </row>
        <row r="28">
          <cell r="B28">
            <v>0.79</v>
          </cell>
          <cell r="C28">
            <v>6</v>
          </cell>
          <cell r="D28">
            <v>1</v>
          </cell>
          <cell r="E28">
            <v>7</v>
          </cell>
          <cell r="F28">
            <v>860</v>
          </cell>
          <cell r="G28">
            <v>100.2</v>
          </cell>
          <cell r="H28">
            <v>4.0999999999999996</v>
          </cell>
          <cell r="J28">
            <v>150</v>
          </cell>
          <cell r="K28">
            <v>30</v>
          </cell>
          <cell r="L28">
            <v>9</v>
          </cell>
          <cell r="M28">
            <v>1500</v>
          </cell>
          <cell r="N28">
            <v>20</v>
          </cell>
          <cell r="O28">
            <v>15</v>
          </cell>
        </row>
        <row r="29">
          <cell r="B29">
            <v>0.33</v>
          </cell>
          <cell r="C29">
            <v>7</v>
          </cell>
          <cell r="D29">
            <v>0</v>
          </cell>
          <cell r="E29">
            <v>7</v>
          </cell>
          <cell r="F29">
            <v>1272</v>
          </cell>
          <cell r="G29">
            <v>93.5</v>
          </cell>
          <cell r="H29">
            <v>3.8</v>
          </cell>
          <cell r="J29">
            <v>210</v>
          </cell>
          <cell r="K29">
            <v>35</v>
          </cell>
          <cell r="L29">
            <v>7</v>
          </cell>
          <cell r="M29">
            <v>1800</v>
          </cell>
          <cell r="N29">
            <v>25</v>
          </cell>
          <cell r="O29">
            <v>20</v>
          </cell>
        </row>
        <row r="30">
          <cell r="B30">
            <v>0.25</v>
          </cell>
          <cell r="C30">
            <v>6.25</v>
          </cell>
          <cell r="D30">
            <v>1.875</v>
          </cell>
          <cell r="E30">
            <v>8.125</v>
          </cell>
          <cell r="F30">
            <v>708</v>
          </cell>
          <cell r="G30">
            <v>95.3</v>
          </cell>
          <cell r="H30">
            <v>4</v>
          </cell>
          <cell r="J30">
            <v>250</v>
          </cell>
          <cell r="K30">
            <v>50</v>
          </cell>
          <cell r="L30">
            <v>7</v>
          </cell>
          <cell r="M30">
            <v>2500</v>
          </cell>
          <cell r="N30">
            <v>30</v>
          </cell>
          <cell r="O30">
            <v>20</v>
          </cell>
        </row>
        <row r="31">
          <cell r="B31">
            <v>0.21</v>
          </cell>
          <cell r="C31">
            <v>5.3</v>
          </cell>
          <cell r="D31">
            <v>1</v>
          </cell>
          <cell r="E31">
            <v>6.3</v>
          </cell>
          <cell r="F31">
            <v>146</v>
          </cell>
          <cell r="G31">
            <v>102</v>
          </cell>
          <cell r="H31">
            <v>3.9</v>
          </cell>
          <cell r="J31">
            <v>180</v>
          </cell>
          <cell r="K31">
            <v>30</v>
          </cell>
          <cell r="L31">
            <v>6</v>
          </cell>
          <cell r="M31">
            <v>1500</v>
          </cell>
          <cell r="N31">
            <v>20</v>
          </cell>
          <cell r="O31">
            <v>15</v>
          </cell>
        </row>
      </sheetData>
      <sheetData sheetId="1"/>
      <sheetData sheetId="2"/>
      <sheetData sheetId="3"/>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run Panchasara" refreshedDate="45640.0488625" createdVersion="8" refreshedVersion="8" minRefreshableVersion="3" recordCount="30" xr:uid="{37DEDAD2-DC7D-409B-AFA9-0105E358D754}">
  <cacheSource type="worksheet">
    <worksheetSource name="Table1"/>
  </cacheSource>
  <cacheFields count="14">
    <cacheField name="Metropolitan Area" numFmtId="0">
      <sharedItems count="30">
        <s v="San Francisco"/>
        <s v="New York"/>
        <s v="Chicago"/>
        <s v="Washington"/>
        <s v="Houston"/>
        <s v="Dallas/Ft. Worth"/>
        <s v="Sacramento"/>
        <s v="Atlanta"/>
        <s v="Philadelphia"/>
        <s v="Detroit"/>
        <s v="Orlando"/>
        <s v="Boston"/>
        <s v="Los Angeles"/>
        <s v="Miami/Ft. Lauderdale"/>
        <s v="Seattle/Tacoma"/>
        <s v="Minneapolis/St. Paul"/>
        <s v="Tampa/St. Petersburg"/>
        <s v="Cleveland"/>
        <s v="Milwaukee"/>
        <s v="Cincinnati"/>
        <s v="Portland, OR"/>
        <s v="Pittsburgh"/>
        <s v="San Diego"/>
        <s v="Phoenix"/>
        <s v="Denver"/>
        <s v="Kansas City"/>
        <s v="Indianapolis"/>
        <s v="St. Louis"/>
        <s v="San Antonio"/>
        <s v="Norfolk/ Virginia Beach/ Newport News, VA"/>
      </sharedItems>
    </cacheField>
    <cacheField name="Indian Population %" numFmtId="0">
      <sharedItems containsSemiMixedTypes="0" containsString="0" containsNumber="1" minValue="0.21" maxValue="2.0499999999999998"/>
    </cacheField>
    <cacheField name="State Tax Rate (%)" numFmtId="2">
      <sharedItems containsSemiMixedTypes="0" containsString="0" containsNumber="1" minValue="0" maxValue="7.25"/>
    </cacheField>
    <cacheField name="Local Tax Rate (%)" numFmtId="2">
      <sharedItems containsSemiMixedTypes="0" containsString="0" containsNumber="1" minValue="0" maxValue="5.0999999999999996"/>
    </cacheField>
    <cacheField name="Total Tax Rate (%)" numFmtId="2">
      <sharedItems containsSemiMixedTypes="0" containsString="0" containsNumber="1" minValue="0" maxValue="10.25"/>
    </cacheField>
    <cacheField name="Crime Rate per 100k" numFmtId="0">
      <sharedItems containsSemiMixedTypes="0" containsString="0" containsNumber="1" containsInteger="1" minValue="146" maxValue="2007"/>
    </cacheField>
    <cacheField name="Cost of Living Index" numFmtId="0">
      <sharedItems containsSemiMixedTypes="0" containsString="0" containsNumber="1" minValue="89.4" maxValue="177.6"/>
    </cacheField>
    <cacheField name="Job Market Score" numFmtId="0">
      <sharedItems containsSemiMixedTypes="0" containsString="0" containsNumber="1" minValue="2.8" maxValue="4.5"/>
    </cacheField>
    <cacheField name="Number of Parks" numFmtId="1">
      <sharedItems containsSemiMixedTypes="0" containsString="0" containsNumber="1" containsInteger="1" minValue="140" maxValue="1700"/>
    </cacheField>
    <cacheField name="Number of Museums" numFmtId="1">
      <sharedItems containsSemiMixedTypes="0" containsString="0" containsNumber="1" containsInteger="1" minValue="30" maxValue="200"/>
    </cacheField>
    <cacheField name="Nightlife score (0-10)" numFmtId="1">
      <sharedItems containsSemiMixedTypes="0" containsString="0" containsNumber="1" minValue="6" maxValue="10"/>
    </cacheField>
    <cacheField name="Number of Restaurants" numFmtId="1">
      <sharedItems containsSemiMixedTypes="0" containsString="0" containsNumber="1" containsInteger="1" minValue="1200" maxValue="29000"/>
    </cacheField>
    <cacheField name="Number of Theaters" numFmtId="1">
      <sharedItems containsSemiMixedTypes="0" containsString="0" containsNumber="1" containsInteger="1" minValue="20" maxValue="200"/>
    </cacheField>
    <cacheField name="Annual Cultural Events" numFmtId="1">
      <sharedItems containsSemiMixedTypes="0" containsString="0" containsNumber="1" containsInteger="1" minValue="15" maxValue="100"/>
    </cacheField>
  </cacheFields>
  <extLst>
    <ext xmlns:x14="http://schemas.microsoft.com/office/spreadsheetml/2009/9/main" uri="{725AE2AE-9491-48be-B2B4-4EB974FC3084}">
      <x14:pivotCacheDefinition pivotCacheId="78951303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run Panchasara" refreshedDate="45640.048863310185" createdVersion="8" refreshedVersion="8" minRefreshableVersion="3" recordCount="7" xr:uid="{D8975908-A748-4883-9406-710221037F7C}">
  <cacheSource type="worksheet">
    <worksheetSource ref="A33:L40" sheet="GraphPivotData"/>
  </cacheSource>
  <cacheFields count="12">
    <cacheField name="Metropolitan Area" numFmtId="0">
      <sharedItems count="7">
        <s v="Indian Population %"/>
        <s v="Total Tax Rate (%)"/>
        <s v="Crime Rate per 100k"/>
        <s v="Cost of Living Index"/>
        <s v="Job Market Score"/>
        <s v="Recreational Score"/>
        <s v="Overall"/>
      </sharedItems>
    </cacheField>
    <cacheField name="New York" numFmtId="0">
      <sharedItems containsSemiMixedTypes="0" containsString="0" containsNumber="1" minValue="1.89" maxValue="540"/>
    </cacheField>
    <cacheField name="Los Angeles" numFmtId="0">
      <sharedItems containsSemiMixedTypes="0" containsString="0" containsNumber="1" minValue="0.64" maxValue="748"/>
    </cacheField>
    <cacheField name="Chicago" numFmtId="0">
      <sharedItems containsSemiMixedTypes="0" containsString="0" containsNumber="1" minValue="1.28" maxValue="1099"/>
    </cacheField>
    <cacheField name="Washington" numFmtId="0">
      <sharedItems containsSemiMixedTypes="0" containsString="0" containsNumber="1" minValue="1.1599999999999999" maxValue="1049"/>
    </cacheField>
    <cacheField name="San Francisco" numFmtId="0">
      <sharedItems containsSemiMixedTypes="0" containsString="0" containsNumber="1" minValue="2.0499999999999998" maxValue="669"/>
    </cacheField>
    <cacheField name="Philadelphia" numFmtId="0">
      <sharedItems containsSemiMixedTypes="0" containsString="0" containsNumber="1" minValue="0.85" maxValue="908"/>
    </cacheField>
    <cacheField name="Boston" numFmtId="0">
      <sharedItems containsSemiMixedTypes="0" containsString="0" containsNumber="1" minValue="0.75" maxValue="622"/>
    </cacheField>
    <cacheField name="Detroit" numFmtId="0">
      <sharedItems containsSemiMixedTypes="0" containsString="0" containsNumber="1" minValue="0.84" maxValue="2007"/>
    </cacheField>
    <cacheField name="Dallas/Ft. Worth" numFmtId="0">
      <sharedItems containsString="0" containsBlank="1" containsNumber="1" minValue="0.95" maxValue="762"/>
    </cacheField>
    <cacheField name="Houston" numFmtId="0">
      <sharedItems containsSemiMixedTypes="0" containsString="0" containsNumber="1" minValue="1.1100000000000001" maxValue="1026"/>
    </cacheField>
    <cacheField name="Atlanta" numFmtId="0">
      <sharedItems containsSemiMixedTypes="0" containsString="0" containsNumber="1" minValue="0.9" maxValue="1433"/>
    </cacheField>
  </cacheFields>
  <extLst>
    <ext xmlns:x14="http://schemas.microsoft.com/office/spreadsheetml/2009/9/main" uri="{725AE2AE-9491-48be-B2B4-4EB974FC3084}">
      <x14:pivotCacheDefinition pivotCacheId="11340860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2.0499999999999998"/>
    <n v="7.25"/>
    <n v="1.25"/>
    <n v="8.5"/>
    <n v="669"/>
    <n v="177.6"/>
    <n v="4.5"/>
    <n v="220"/>
    <n v="50"/>
    <n v="8"/>
    <n v="4500"/>
    <n v="50"/>
    <n v="40"/>
  </r>
  <r>
    <x v="1"/>
    <n v="1.89"/>
    <n v="4"/>
    <n v="4.875"/>
    <n v="8.875"/>
    <n v="540"/>
    <n v="168.6"/>
    <n v="4"/>
    <n v="1700"/>
    <n v="100"/>
    <n v="10"/>
    <n v="24000"/>
    <n v="200"/>
    <n v="100"/>
  </r>
  <r>
    <x v="2"/>
    <n v="1.28"/>
    <n v="6.25"/>
    <n v="4"/>
    <n v="10.25"/>
    <n v="1099"/>
    <n v="119.5"/>
    <n v="3.8"/>
    <n v="600"/>
    <n v="60"/>
    <n v="8.5"/>
    <n v="7500"/>
    <n v="200"/>
    <n v="50"/>
  </r>
  <r>
    <x v="3"/>
    <n v="1.1599999999999999"/>
    <n v="6"/>
    <n v="0"/>
    <n v="6"/>
    <n v="1049"/>
    <n v="155"/>
    <n v="4.2"/>
    <n v="300"/>
    <n v="70"/>
    <n v="7.5"/>
    <n v="2200"/>
    <n v="90"/>
    <n v="60"/>
  </r>
  <r>
    <x v="4"/>
    <n v="1.1100000000000001"/>
    <n v="6.25"/>
    <n v="2"/>
    <n v="8.25"/>
    <n v="1026"/>
    <n v="103"/>
    <n v="4"/>
    <n v="370"/>
    <n v="150"/>
    <n v="7.5"/>
    <n v="10000"/>
    <n v="50"/>
    <n v="20"/>
  </r>
  <r>
    <x v="5"/>
    <n v="0.95"/>
    <n v="6.25"/>
    <n v="2"/>
    <n v="8.25"/>
    <n v="762"/>
    <n v="107"/>
    <n v="4.0999999999999996"/>
    <n v="400"/>
    <n v="80"/>
    <n v="7.5"/>
    <n v="6000"/>
    <n v="60"/>
    <n v="30"/>
  </r>
  <r>
    <x v="6"/>
    <n v="0.95"/>
    <n v="7.25"/>
    <n v="1"/>
    <n v="8.25"/>
    <n v="712"/>
    <n v="118.5"/>
    <n v="3.9"/>
    <n v="220"/>
    <n v="40"/>
    <n v="6"/>
    <n v="2000"/>
    <n v="20"/>
    <n v="15"/>
  </r>
  <r>
    <x v="7"/>
    <n v="0.9"/>
    <n v="4"/>
    <n v="4"/>
    <n v="8"/>
    <n v="1433"/>
    <n v="102.4"/>
    <n v="4.2"/>
    <n v="300"/>
    <n v="75"/>
    <n v="9"/>
    <n v="3500"/>
    <n v="30"/>
    <n v="25"/>
  </r>
  <r>
    <x v="8"/>
    <n v="0.85"/>
    <n v="6"/>
    <n v="2"/>
    <n v="8"/>
    <n v="908"/>
    <n v="110"/>
    <n v="3.7"/>
    <n v="300"/>
    <n v="100"/>
    <n v="7.5"/>
    <n v="6000"/>
    <n v="50"/>
    <n v="30"/>
  </r>
  <r>
    <x v="9"/>
    <n v="0.84"/>
    <n v="6"/>
    <n v="0"/>
    <n v="6"/>
    <n v="2007"/>
    <n v="96.7"/>
    <n v="2.8"/>
    <n v="300"/>
    <n v="30"/>
    <n v="7.5"/>
    <n v="1500"/>
    <n v="20"/>
    <n v="20"/>
  </r>
  <r>
    <x v="10"/>
    <n v="0.79"/>
    <n v="6"/>
    <n v="1"/>
    <n v="7"/>
    <n v="860"/>
    <n v="100.2"/>
    <n v="4.0999999999999996"/>
    <n v="150"/>
    <n v="30"/>
    <n v="8.5"/>
    <n v="1500"/>
    <n v="20"/>
    <n v="15"/>
  </r>
  <r>
    <x v="11"/>
    <n v="0.75"/>
    <n v="6.25"/>
    <n v="0"/>
    <n v="6.25"/>
    <n v="622"/>
    <n v="159.1"/>
    <n v="4.3"/>
    <n v="200"/>
    <n v="60"/>
    <n v="7"/>
    <n v="3000"/>
    <n v="40"/>
    <n v="25"/>
  </r>
  <r>
    <x v="12"/>
    <n v="0.64"/>
    <n v="7.25"/>
    <n v="1.5"/>
    <n v="8.75"/>
    <n v="748"/>
    <n v="149"/>
    <n v="3.5"/>
    <n v="450"/>
    <n v="200"/>
    <n v="9.5"/>
    <n v="29000"/>
    <n v="80"/>
    <n v="50"/>
  </r>
  <r>
    <x v="13"/>
    <n v="0.61"/>
    <n v="6"/>
    <n v="1"/>
    <n v="7"/>
    <n v="629"/>
    <n v="122"/>
    <n v="4"/>
    <n v="250"/>
    <n v="50"/>
    <n v="9.5"/>
    <n v="4000"/>
    <n v="30"/>
    <n v="20"/>
  </r>
  <r>
    <x v="14"/>
    <n v="0.56999999999999995"/>
    <n v="6.5"/>
    <n v="3"/>
    <n v="9.5"/>
    <n v="620"/>
    <n v="152.4"/>
    <n v="4.5"/>
    <n v="400"/>
    <n v="60"/>
    <n v="7"/>
    <n v="3000"/>
    <n v="40"/>
    <n v="25"/>
  </r>
  <r>
    <x v="15"/>
    <n v="0.49"/>
    <n v="6.875"/>
    <n v="0.9"/>
    <n v="7.7750000000000004"/>
    <n v="1101"/>
    <n v="109"/>
    <n v="4.2"/>
    <n v="350"/>
    <n v="50"/>
    <n v="7"/>
    <n v="2800"/>
    <n v="30"/>
    <n v="20"/>
  </r>
  <r>
    <x v="16"/>
    <n v="0.45"/>
    <n v="6"/>
    <n v="1.5"/>
    <n v="7.5"/>
    <n v="428"/>
    <n v="100.6"/>
    <n v="4"/>
    <n v="200"/>
    <n v="40"/>
    <n v="7"/>
    <n v="2000"/>
    <n v="20"/>
    <n v="15"/>
  </r>
  <r>
    <x v="17"/>
    <n v="0.43"/>
    <n v="5.5"/>
    <n v="2.25"/>
    <n v="7.75"/>
    <n v="1517"/>
    <n v="89.4"/>
    <n v="3.2"/>
    <n v="150"/>
    <n v="30"/>
    <n v="6.5"/>
    <n v="1200"/>
    <n v="20"/>
    <n v="15"/>
  </r>
  <r>
    <x v="18"/>
    <n v="0.42"/>
    <n v="5"/>
    <n v="0.5"/>
    <n v="5.5"/>
    <n v="1332"/>
    <n v="92"/>
    <n v="3.5"/>
    <n v="140"/>
    <n v="30"/>
    <n v="6.5"/>
    <n v="1200"/>
    <n v="20"/>
    <n v="15"/>
  </r>
  <r>
    <x v="19"/>
    <n v="0.4"/>
    <n v="5.75"/>
    <n v="1"/>
    <n v="6.75"/>
    <n v="897"/>
    <n v="89.7"/>
    <n v="3.7"/>
    <n v="150"/>
    <n v="30"/>
    <n v="6.5"/>
    <n v="1200"/>
    <n v="20"/>
    <n v="15"/>
  </r>
  <r>
    <x v="20"/>
    <n v="0.38"/>
    <n v="0"/>
    <n v="0"/>
    <n v="0"/>
    <n v="522"/>
    <n v="125.5"/>
    <n v="4.2"/>
    <n v="275"/>
    <n v="50"/>
    <n v="7.5"/>
    <n v="2800"/>
    <n v="30"/>
    <n v="20"/>
  </r>
  <r>
    <x v="21"/>
    <n v="0.37"/>
    <n v="6"/>
    <n v="1"/>
    <n v="7"/>
    <n v="610"/>
    <n v="92"/>
    <n v="3.6"/>
    <n v="165"/>
    <n v="35"/>
    <n v="6.5"/>
    <n v="1500"/>
    <n v="20"/>
    <n v="15"/>
  </r>
  <r>
    <x v="22"/>
    <n v="0.36"/>
    <n v="7.25"/>
    <n v="1"/>
    <n v="8.25"/>
    <n v="369"/>
    <n v="144.6"/>
    <n v="4.2"/>
    <n v="340"/>
    <n v="70"/>
    <n v="8"/>
    <n v="4500"/>
    <n v="50"/>
    <n v="30"/>
  </r>
  <r>
    <x v="23"/>
    <n v="0.35"/>
    <n v="6.6"/>
    <n v="2.7"/>
    <n v="9.3000000000000007"/>
    <n v="733"/>
    <n v="113"/>
    <n v="4"/>
    <n v="200"/>
    <n v="40"/>
    <n v="6.5"/>
    <n v="2500"/>
    <n v="20"/>
    <n v="15"/>
  </r>
  <r>
    <x v="24"/>
    <n v="0.34"/>
    <n v="2.9"/>
    <n v="5.0999999999999996"/>
    <n v="8"/>
    <n v="730"/>
    <n v="128.69999999999999"/>
    <n v="4.3"/>
    <n v="250"/>
    <n v="50"/>
    <n v="7.5"/>
    <n v="2500"/>
    <n v="30"/>
    <n v="25"/>
  </r>
  <r>
    <x v="25"/>
    <n v="0.34"/>
    <n v="4.2249999999999996"/>
    <n v="3.625"/>
    <n v="7.85"/>
    <n v="1590"/>
    <n v="94.8"/>
    <n v="3.8"/>
    <n v="220"/>
    <n v="40"/>
    <n v="6.5"/>
    <n v="2000"/>
    <n v="25"/>
    <n v="20"/>
  </r>
  <r>
    <x v="26"/>
    <n v="0.33"/>
    <n v="7"/>
    <n v="0"/>
    <n v="7"/>
    <n v="1272"/>
    <n v="93.5"/>
    <n v="3.8"/>
    <n v="210"/>
    <n v="35"/>
    <n v="6.5"/>
    <n v="1800"/>
    <n v="25"/>
    <n v="20"/>
  </r>
  <r>
    <x v="27"/>
    <n v="0.32"/>
    <n v="4.2249999999999996"/>
    <n v="4.266"/>
    <n v="8.4909999999999997"/>
    <n v="1800"/>
    <n v="96.5"/>
    <n v="3.4"/>
    <n v="200"/>
    <n v="40"/>
    <n v="6.5"/>
    <n v="2000"/>
    <n v="25"/>
    <n v="20"/>
  </r>
  <r>
    <x v="28"/>
    <n v="0.25"/>
    <n v="6.25"/>
    <n v="1.875"/>
    <n v="8.125"/>
    <n v="708"/>
    <n v="95.3"/>
    <n v="4"/>
    <n v="250"/>
    <n v="50"/>
    <n v="6.5"/>
    <n v="2500"/>
    <n v="30"/>
    <n v="20"/>
  </r>
  <r>
    <x v="29"/>
    <n v="0.21"/>
    <n v="5.3"/>
    <n v="1"/>
    <n v="6.3"/>
    <n v="146"/>
    <n v="102"/>
    <n v="3.9"/>
    <n v="180"/>
    <n v="30"/>
    <n v="6"/>
    <n v="1500"/>
    <n v="20"/>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1.89"/>
    <n v="0.64"/>
    <n v="1.28"/>
    <n v="1.1599999999999999"/>
    <n v="2.0499999999999998"/>
    <n v="0.85"/>
    <n v="0.75"/>
    <n v="0.84"/>
    <n v="0.95"/>
    <n v="1.1100000000000001"/>
    <n v="0.9"/>
  </r>
  <r>
    <x v="1"/>
    <n v="8.875"/>
    <n v="8.75"/>
    <n v="10.25"/>
    <n v="6"/>
    <n v="8.5"/>
    <n v="8"/>
    <n v="6.25"/>
    <n v="6"/>
    <n v="8.25"/>
    <n v="8.25"/>
    <n v="8"/>
  </r>
  <r>
    <x v="2"/>
    <n v="540"/>
    <n v="748"/>
    <n v="1099"/>
    <n v="1049"/>
    <n v="669"/>
    <n v="908"/>
    <n v="622"/>
    <n v="2007"/>
    <n v="762"/>
    <n v="1026"/>
    <n v="1433"/>
  </r>
  <r>
    <x v="3"/>
    <n v="168.6"/>
    <n v="149"/>
    <n v="119.5"/>
    <n v="155"/>
    <n v="177.6"/>
    <n v="110"/>
    <n v="159.1"/>
    <n v="96.7"/>
    <n v="107"/>
    <n v="103"/>
    <n v="102.4"/>
  </r>
  <r>
    <x v="4"/>
    <n v="4"/>
    <n v="3.5"/>
    <n v="3.8"/>
    <n v="4.2"/>
    <n v="4.5"/>
    <n v="3.7"/>
    <n v="4.3"/>
    <n v="2.8"/>
    <n v="4.0999999999999996"/>
    <n v="4"/>
    <n v="4.2"/>
  </r>
  <r>
    <x v="5"/>
    <n v="8.7198480000000007"/>
    <n v="6.3646929999999999"/>
    <n v="4.5578760000000003"/>
    <n v="2.9505919999999999"/>
    <n v="2.7785500000000001"/>
    <n v="2.3452320000000002"/>
    <n v="2.3418800000000002"/>
    <n v="2.2886769999999999"/>
    <n v="2.2089029999999998"/>
    <n v="2.1304310000000002"/>
    <n v="2.0806969999999998"/>
  </r>
  <r>
    <x v="6"/>
    <n v="74.81330494820709"/>
    <n v="55.932820448780063"/>
    <n v="58.699885968559087"/>
    <n v="54.769373594465236"/>
    <n v="70.980520576333319"/>
    <n v="42.397023613344359"/>
    <n v="45.452862664242424"/>
    <n v="43.028380527385544"/>
    <m/>
    <n v="47.259740851269626"/>
    <n v="48.8132282368477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C285AC-386A-4770-9924-32FBE4B29DD8}" name="PivotTable2"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42:C53" firstHeaderRow="1" firstDataRow="2" firstDataCol="1"/>
  <pivotFields count="12">
    <pivotField axis="axisCol" showAll="0">
      <items count="8">
        <item x="3"/>
        <item h="1" x="2"/>
        <item h="1" x="0"/>
        <item h="1" x="4"/>
        <item h="1" x="1"/>
        <item h="1" x="5"/>
        <item h="1" x="6"/>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s>
  <rowFields count="1">
    <field x="-2"/>
  </rowFields>
  <rowItems count="10">
    <i>
      <x/>
    </i>
    <i i="1">
      <x v="1"/>
    </i>
    <i i="2">
      <x v="2"/>
    </i>
    <i i="3">
      <x v="3"/>
    </i>
    <i i="4">
      <x v="4"/>
    </i>
    <i i="5">
      <x v="5"/>
    </i>
    <i i="6">
      <x v="6"/>
    </i>
    <i i="7">
      <x v="7"/>
    </i>
    <i i="8">
      <x v="8"/>
    </i>
    <i i="9">
      <x v="9"/>
    </i>
  </rowItems>
  <colFields count="1">
    <field x="0"/>
  </colFields>
  <colItems count="2">
    <i>
      <x/>
    </i>
    <i t="grand">
      <x/>
    </i>
  </colItems>
  <dataFields count="10">
    <dataField name="NewYork" fld="1" baseField="0" baseItem="0"/>
    <dataField name="LosAngeles" fld="2" baseField="0" baseItem="0"/>
    <dataField name="Chicago." fld="3" baseField="0" baseItem="0"/>
    <dataField name="Washington." fld="4" baseField="0" baseItem="0"/>
    <dataField name="SanFrancisco" fld="5" baseField="0" baseItem="0"/>
    <dataField name="Philadelphia." fld="6" baseField="0" baseItem="0"/>
    <dataField name="Boston." fld="7" baseField="0" baseItem="0"/>
    <dataField name="Detroit." fld="8" baseField="0" baseItem="0"/>
    <dataField name="Atlanta." fld="11" baseField="0" baseItem="0"/>
    <dataField name="Houston." fld="10" baseField="0" baseItem="0"/>
  </dataFields>
  <chartFormats count="15">
    <chartFormat chart="9" format="30" series="1">
      <pivotArea type="data" outline="0" fieldPosition="0">
        <references count="1">
          <reference field="4294967294" count="1" selected="0">
            <x v="0"/>
          </reference>
        </references>
      </pivotArea>
    </chartFormat>
    <chartFormat chart="9" format="31" series="1">
      <pivotArea type="data" outline="0" fieldPosition="0">
        <references count="1">
          <reference field="4294967294" count="1" selected="0">
            <x v="1"/>
          </reference>
        </references>
      </pivotArea>
    </chartFormat>
    <chartFormat chart="9" format="32" series="1">
      <pivotArea type="data" outline="0" fieldPosition="0">
        <references count="1">
          <reference field="4294967294" count="1" selected="0">
            <x v="2"/>
          </reference>
        </references>
      </pivotArea>
    </chartFormat>
    <chartFormat chart="9" format="33" series="1">
      <pivotArea type="data" outline="0" fieldPosition="0">
        <references count="1">
          <reference field="4294967294" count="1" selected="0">
            <x v="3"/>
          </reference>
        </references>
      </pivotArea>
    </chartFormat>
    <chartFormat chart="9" format="34" series="1">
      <pivotArea type="data" outline="0" fieldPosition="0">
        <references count="1">
          <reference field="4294967294" count="1" selected="0">
            <x v="4"/>
          </reference>
        </references>
      </pivotArea>
    </chartFormat>
    <chartFormat chart="9" format="35" series="1">
      <pivotArea type="data" outline="0" fieldPosition="0">
        <references count="1">
          <reference field="4294967294" count="1" selected="0">
            <x v="5"/>
          </reference>
        </references>
      </pivotArea>
    </chartFormat>
    <chartFormat chart="9" format="36" series="1">
      <pivotArea type="data" outline="0" fieldPosition="0">
        <references count="1">
          <reference field="4294967294" count="1" selected="0">
            <x v="6"/>
          </reference>
        </references>
      </pivotArea>
    </chartFormat>
    <chartFormat chart="9" format="37" series="1">
      <pivotArea type="data" outline="0" fieldPosition="0">
        <references count="1">
          <reference field="4294967294" count="1" selected="0">
            <x v="7"/>
          </reference>
        </references>
      </pivotArea>
    </chartFormat>
    <chartFormat chart="9" format="40" series="1">
      <pivotArea type="data" outline="0" fieldPosition="0">
        <references count="1">
          <reference field="4294967294" count="1" selected="0">
            <x v="8"/>
          </reference>
        </references>
      </pivotArea>
    </chartFormat>
    <chartFormat chart="9" format="60" series="1">
      <pivotArea type="data" outline="0" fieldPosition="0">
        <references count="2">
          <reference field="4294967294" count="1" selected="0">
            <x v="0"/>
          </reference>
          <reference field="0" count="1" selected="0">
            <x v="4"/>
          </reference>
        </references>
      </pivotArea>
    </chartFormat>
    <chartFormat chart="9" format="61" series="1">
      <pivotArea type="data" outline="0" fieldPosition="0">
        <references count="2">
          <reference field="4294967294" count="1" selected="0">
            <x v="0"/>
          </reference>
          <reference field="0" count="1" selected="0">
            <x v="0"/>
          </reference>
        </references>
      </pivotArea>
    </chartFormat>
    <chartFormat chart="9" format="62" series="1">
      <pivotArea type="data" outline="0" fieldPosition="0">
        <references count="2">
          <reference field="4294967294" count="1" selected="0">
            <x v="0"/>
          </reference>
          <reference field="0" count="1" selected="0">
            <x v="2"/>
          </reference>
        </references>
      </pivotArea>
    </chartFormat>
    <chartFormat chart="9" format="63" series="1">
      <pivotArea type="data" outline="0" fieldPosition="0">
        <references count="2">
          <reference field="4294967294" count="1" selected="0">
            <x v="0"/>
          </reference>
          <reference field="0" count="1" selected="0">
            <x v="5"/>
          </reference>
        </references>
      </pivotArea>
    </chartFormat>
    <chartFormat chart="9" format="64" series="1">
      <pivotArea type="data" outline="0" fieldPosition="0">
        <references count="2">
          <reference field="4294967294" count="1" selected="0">
            <x v="0"/>
          </reference>
          <reference field="0" count="1" selected="0">
            <x v="6"/>
          </reference>
        </references>
      </pivotArea>
    </chartFormat>
    <chartFormat chart="9" format="6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B3D51A-FAA7-4B59-A256-2ABF83A8149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26:D30" firstHeaderRow="0" firstDataRow="1" firstDataCol="1"/>
  <pivotFields count="14">
    <pivotField axis="axisRow" showAll="0">
      <items count="31">
        <item x="11"/>
        <item h="1" x="1"/>
        <item h="1" x="0"/>
        <item x="2"/>
        <item h="1" x="7"/>
        <item x="19"/>
        <item h="1" x="17"/>
        <item h="1" x="5"/>
        <item h="1" x="24"/>
        <item h="1" x="9"/>
        <item h="1" x="4"/>
        <item h="1" x="26"/>
        <item h="1" x="25"/>
        <item h="1" x="12"/>
        <item h="1" x="13"/>
        <item h="1" x="18"/>
        <item h="1" x="15"/>
        <item h="1" x="29"/>
        <item h="1" x="10"/>
        <item h="1" x="8"/>
        <item h="1" x="23"/>
        <item h="1" x="21"/>
        <item h="1" x="20"/>
        <item h="1" x="6"/>
        <item h="1" x="28"/>
        <item h="1" x="22"/>
        <item h="1" x="14"/>
        <item h="1" x="27"/>
        <item h="1" x="16"/>
        <item h="1" x="3"/>
        <item t="default"/>
      </items>
    </pivotField>
    <pivotField numFmtId="164" showAll="0"/>
    <pivotField dataField="1" showAll="0"/>
    <pivotField dataField="1" showAll="0"/>
    <pivotField dataField="1"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s>
  <rowFields count="1">
    <field x="0"/>
  </rowFields>
  <rowItems count="4">
    <i>
      <x/>
    </i>
    <i>
      <x v="3"/>
    </i>
    <i>
      <x v="5"/>
    </i>
    <i t="grand">
      <x/>
    </i>
  </rowItems>
  <colFields count="1">
    <field x="-2"/>
  </colFields>
  <colItems count="3">
    <i>
      <x/>
    </i>
    <i i="1">
      <x v="1"/>
    </i>
    <i i="2">
      <x v="2"/>
    </i>
  </colItems>
  <dataFields count="3">
    <dataField name="State Tax Rate" fld="2" baseField="0" baseItem="0"/>
    <dataField name="Local Tax Rate" fld="3" baseField="0" baseItem="0"/>
    <dataField name="Total Tax Rate" fld="4" subtotal="average" baseField="0" baseItem="0" numFmtId="164"/>
  </dataFields>
  <chartFormats count="9">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 chart="8" format="11" series="1">
      <pivotArea type="data" outline="0" fieldPosition="0">
        <references count="1">
          <reference field="4294967294" count="1" selected="0">
            <x v="0"/>
          </reference>
        </references>
      </pivotArea>
    </chartFormat>
    <chartFormat chart="8" format="12" series="1">
      <pivotArea type="data" outline="0" fieldPosition="0">
        <references count="1">
          <reference field="4294967294" count="1" selected="0">
            <x v="1"/>
          </reference>
        </references>
      </pivotArea>
    </chartFormat>
    <chartFormat chart="8" format="1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opolitan_Area2" xr10:uid="{A75F008F-AE91-4222-ADDB-17C8BA894E7D}" sourceName="Metropolitan Area">
  <pivotTables>
    <pivotTable tabId="5" name="PivotTable2"/>
  </pivotTables>
  <data>
    <tabular pivotCacheId="1134086038">
      <items count="7">
        <i x="3" s="1"/>
        <i x="2"/>
        <i x="0"/>
        <i x="4"/>
        <i x="6"/>
        <i x="5"/>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opolitan_Area3" xr10:uid="{56172580-2409-48E9-BA8E-8856691950B5}" sourceName="Metropolitan Area">
  <pivotTables>
    <pivotTable tabId="7" name="PivotTable4"/>
  </pivotTables>
  <data>
    <tabular pivotCacheId="789513037">
      <items count="30">
        <i x="11" s="1"/>
        <i x="1"/>
        <i x="0"/>
        <i x="2" s="1"/>
        <i x="7"/>
        <i x="19" s="1"/>
        <i x="17"/>
        <i x="5"/>
        <i x="24"/>
        <i x="9"/>
        <i x="4"/>
        <i x="26"/>
        <i x="25"/>
        <i x="12"/>
        <i x="13"/>
        <i x="18"/>
        <i x="15"/>
        <i x="29"/>
        <i x="10"/>
        <i x="8"/>
        <i x="23"/>
        <i x="21"/>
        <i x="20"/>
        <i x="6"/>
        <i x="28"/>
        <i x="22"/>
        <i x="14"/>
        <i x="27"/>
        <i x="16"/>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opolitan Area 5" xr10:uid="{B9A6317C-E18F-41ED-A075-E489915FE125}" cache="Slicer_Metropolitan_Area2" caption="Choose a parameter!" rowHeight="493776"/>
  <slicer name="Metropolitan Area 2" xr10:uid="{23DE6310-FBCC-4C64-ACAD-BECCBC5C6098}" cache="Slicer_Metropolitan_Area3" caption="Tax Rates Checker" columnCount="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opolitan Area 4" xr10:uid="{2813C8E5-B7F4-4565-8BA7-78A53829FAB1}" cache="Slicer_Metropolitan_Area3" caption="Metropolitan Area"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DC1DEE-14AA-4843-8281-EB4CDEF51EBB}" name="Table1" displayName="Table1" ref="A1:N31" totalsRowShown="0" headerRowDxfId="48" dataDxfId="47">
  <autoFilter ref="A1:N31" xr:uid="{52DC1DEE-14AA-4843-8281-EB4CDEF51EBB}"/>
  <sortState xmlns:xlrd2="http://schemas.microsoft.com/office/spreadsheetml/2017/richdata2" ref="A2:N31">
    <sortCondition descending="1" ref="B1:B31"/>
  </sortState>
  <tableColumns count="14">
    <tableColumn id="1" xr3:uid="{D5858EB7-E85F-4840-8475-2158A9603DAA}" name="Metropolitan Area" dataDxfId="46"/>
    <tableColumn id="2" xr3:uid="{1BD77846-4869-4532-A596-63BACAF28432}" name="Indian Population %" dataDxfId="45"/>
    <tableColumn id="3" xr3:uid="{183813FC-C72E-473E-876A-953B3DAB3AC3}" name="State Tax Rate (%)" dataDxfId="44"/>
    <tableColumn id="4" xr3:uid="{E8912BA4-5E84-4FDC-86CF-0396E7384691}" name="Local Tax Rate (%)" dataDxfId="43"/>
    <tableColumn id="5" xr3:uid="{328DE4E9-E7E8-4CB3-8D77-5E80BF2E98C2}" name="Total Tax Rate (%)" dataDxfId="42"/>
    <tableColumn id="6" xr3:uid="{6F60AD63-4DF9-4C6A-86B9-E7AE413EFB4B}" name="Crime Rate per 100k" dataDxfId="41"/>
    <tableColumn id="7" xr3:uid="{B65E0FF5-8299-424D-9001-58A69E9CF4A2}" name="Cost of Living Index" dataDxfId="40"/>
    <tableColumn id="8" xr3:uid="{0BCEE440-C263-404D-A8EE-BBBEBD7478F3}" name="Job Market Score" dataDxfId="39"/>
    <tableColumn id="9" xr3:uid="{7E91D67A-E011-4599-A024-D9ADBA7DA5B2}" name="Number of Parks" dataDxfId="38"/>
    <tableColumn id="10" xr3:uid="{FDCE6A58-69E5-476A-80DD-6DE7856E661E}" name="Number of Museums" dataDxfId="37"/>
    <tableColumn id="11" xr3:uid="{78D3C16B-6F11-4EEF-A5A1-51E86E5389CF}" name="Nightlife score (0-10)" dataDxfId="36"/>
    <tableColumn id="12" xr3:uid="{BC1AD47C-0E30-4B06-BCE6-A47F4DCC5317}" name="Number of Restaurants" dataDxfId="35"/>
    <tableColumn id="13" xr3:uid="{2ABAF809-2AE4-48C0-AB48-AA3C492AAE39}" name="Number of Theaters" dataDxfId="34"/>
    <tableColumn id="14" xr3:uid="{48346640-1A32-4DC0-812B-728C44DF1EE7}" name="Annual Cultural Events"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703D10-3615-4781-ADEA-3F134277DD32}" name="Table2" displayName="Table2" ref="A1:N31" totalsRowShown="0" headerRowDxfId="32" dataDxfId="31">
  <autoFilter ref="A1:N31" xr:uid="{5F703D10-3615-4781-ADEA-3F134277DD32}"/>
  <tableColumns count="14">
    <tableColumn id="1" xr3:uid="{D08D743C-9345-4453-8756-570AEB0BAE20}" name="Metropolitan Area" dataDxfId="30"/>
    <tableColumn id="2" xr3:uid="{BE0E918F-C53B-4484-803D-2DC487DC311C}" name="Indian Population %" dataDxfId="29">
      <calculatedColumnFormula>(([1]Dataset!B2-MIN([1]Dataset!$B$2:$B$31))/(MAX([1]Dataset!$B$2:$B$31)-MIN([1]Dataset!$B$2:$B$31)))*100</calculatedColumnFormula>
    </tableColumn>
    <tableColumn id="3" xr3:uid="{777A79D7-A535-4371-B011-D3E6EC05009A}" name="State Tax Rate (%)" dataDxfId="28">
      <calculatedColumnFormula>(([1]Dataset!C2-MIN([1]Dataset!$C$2:$C$31))/(MAX([1]Dataset!$C$2:$C$31)-MIN([1]Dataset!$C$2:$C$31)))*100</calculatedColumnFormula>
    </tableColumn>
    <tableColumn id="4" xr3:uid="{CF8FA9E4-5715-454D-B007-ADB06DFB20E1}" name="Local Tax Rate (%)" dataDxfId="27">
      <calculatedColumnFormula>(([1]Dataset!D2-MIN([1]Dataset!$D$2:$D$31))/(MAX([1]Dataset!$D$2:$D$31)-MIN([1]Dataset!$D$2:$D$31)))*100</calculatedColumnFormula>
    </tableColumn>
    <tableColumn id="5" xr3:uid="{875AABF4-0414-46EF-A1B7-E868B1FE97A2}" name="Total Tax Rate (%)" dataDxfId="26">
      <calculatedColumnFormula>(([1]Dataset!E2-MIN([1]Dataset!$E$2:$E$31))/(MAX([1]Dataset!$E$2:$E$31)-MIN([1]Dataset!$E$2:$E$31)))*100</calculatedColumnFormula>
    </tableColumn>
    <tableColumn id="6" xr3:uid="{D6DB4156-CECE-4C93-AE80-E35E9FB0792F}" name="Crime Rate per 100k" dataDxfId="25">
      <calculatedColumnFormula>(([1]Dataset!F2-MIN([1]Dataset!$F$2:$F$31))/(MAX([1]Dataset!$F$2:$F$31)-MIN([1]Dataset!$F$2:$F$31)))*100</calculatedColumnFormula>
    </tableColumn>
    <tableColumn id="7" xr3:uid="{641B4BB6-21E3-4B2B-8A82-9FF0F6F04BBA}" name="Cost of Living Index" dataDxfId="24">
      <calculatedColumnFormula>(([1]Dataset!G2-MIN([1]Dataset!$G$2:$G$31))/(MAX([1]Dataset!$G$2:$G$31)-MIN([1]Dataset!$G$2:$G$31)))*100</calculatedColumnFormula>
    </tableColumn>
    <tableColumn id="8" xr3:uid="{56E6FBEF-37EA-441A-B956-B9FF253D448D}" name="Job Market Score" dataDxfId="23">
      <calculatedColumnFormula>(([1]Dataset!H2-MIN([1]Dataset!$H$2:$H$31))/(MAX([1]Dataset!$H$2:$H$31)-MIN([1]Dataset!$H$2:$H$31)))*100</calculatedColumnFormula>
    </tableColumn>
    <tableColumn id="10" xr3:uid="{6AA20C8C-D03E-4806-B24E-4D0D462B5037}" name="Number of Parks" dataDxfId="22">
      <calculatedColumnFormula>(([1]Dataset!J2-MIN([1]Dataset!$J$2:$J$31))/(MAX([1]Dataset!$J$2:$J$31)-MIN([1]Dataset!$J$2:$J$31)))*100</calculatedColumnFormula>
    </tableColumn>
    <tableColumn id="11" xr3:uid="{8E0411F7-7404-4280-AB92-5D1342A8C1EF}" name="Number of Museums" dataDxfId="21">
      <calculatedColumnFormula>(([1]Dataset!K2-MIN([1]Dataset!$K$2:$K$31))/(MAX([1]Dataset!$K$2:$K$31)-MIN([1]Dataset!$K$2:$K$31)))*100</calculatedColumnFormula>
    </tableColumn>
    <tableColumn id="12" xr3:uid="{63CD38E8-9DDD-4B7D-A839-5365EC04FD43}" name="Nightlife score (0-10)" dataDxfId="20">
      <calculatedColumnFormula>(([1]Dataset!L2-MIN([1]Dataset!$L$2:$L$31))/(MAX([1]Dataset!$L$2:$L$31)-MIN([1]Dataset!$L$2:$L$31)))*100</calculatedColumnFormula>
    </tableColumn>
    <tableColumn id="13" xr3:uid="{0531B30F-6FE0-4952-8DFC-2081D8890001}" name="Number of Restaurants" dataDxfId="19">
      <calculatedColumnFormula>(([1]Dataset!M2-MIN([1]Dataset!$M$2:$M$31))/(MAX([1]Dataset!$M$2:$M$31)-MIN([1]Dataset!$M$2:$M$31)))*100</calculatedColumnFormula>
    </tableColumn>
    <tableColumn id="14" xr3:uid="{0AB919F1-5858-493D-8ED3-8F7A9A6B9E11}" name="Number of Theaters" dataDxfId="18">
      <calculatedColumnFormula>(([1]Dataset!N2-MIN([1]Dataset!$N$2:$N$31))/(MAX([1]Dataset!$N$2:$N$31)-MIN([1]Dataset!$N$2:$N$31)))*100</calculatedColumnFormula>
    </tableColumn>
    <tableColumn id="15" xr3:uid="{507BDE19-C8A4-4E82-A0FD-1336D692B994}" name="Annual Cultural Events" dataDxfId="17">
      <calculatedColumnFormula>(([1]Dataset!O2-MIN([1]Dataset!$O$2:$O$31))/(MAX([1]Dataset!$O$2:$O$31)-MIN([1]Dataset!$O$2:$O$31)))*100</calculatedColumnFormula>
    </tableColumn>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8116C6-0AF3-43AE-B602-AA181A2AC0D6}" name="Table24" displayName="Table24" ref="A1:O31" totalsRowShown="0" headerRowDxfId="16" dataDxfId="15">
  <autoFilter ref="A1:O31" xr:uid="{5F703D10-3615-4781-ADEA-3F134277DD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A2:O31">
    <sortCondition ref="B1:B31"/>
  </sortState>
  <tableColumns count="15">
    <tableColumn id="1" xr3:uid="{533D4AAC-C156-49BE-A9C9-0BE145D6EAF9}" name="Metropolitan Area" dataDxfId="14"/>
    <tableColumn id="2" xr3:uid="{6A7E8221-53E4-4820-B841-D2DF5D0C16F4}" name="Indian Population %" dataDxfId="13"/>
    <tableColumn id="3" xr3:uid="{056C5AFE-9B55-4047-9834-4B4F89C21D9C}" name="State Tax Rate (%)" dataDxfId="12"/>
    <tableColumn id="4" xr3:uid="{096B65E0-F5CB-4B9C-B8A4-6E7A711CD6A8}" name="Local Tax Rate (%)" dataDxfId="11"/>
    <tableColumn id="5" xr3:uid="{67A74070-BBF8-4414-B809-08E755F858A1}" name="Total Tax Rate (%)" dataDxfId="10">
      <calculatedColumnFormula>Table2[[#This Row],[Total Tax Rate (%)]]*'Weighted Scores'!$S$5</calculatedColumnFormula>
    </tableColumn>
    <tableColumn id="6" xr3:uid="{BD4FC683-ADF0-4783-A459-ABBCB18906A4}" name="Crime Rate per 100k" dataDxfId="9">
      <calculatedColumnFormula>Table2[[#This Row],[Crime Rate per 100k]]*'Weighted Scores'!$S$6</calculatedColumnFormula>
    </tableColumn>
    <tableColumn id="7" xr3:uid="{5FD24C42-62CF-4CD9-86EA-9E7D9F8675B7}" name="Cost of Living Index" dataDxfId="8">
      <calculatedColumnFormula>Table2[[#This Row],[Cost of Living Index]]*'Weighted Scores'!$S$7</calculatedColumnFormula>
    </tableColumn>
    <tableColumn id="8" xr3:uid="{658B5ED9-BA2D-44DD-8463-924CDC23F50E}" name="Job Market Score" dataDxfId="7">
      <calculatedColumnFormula>Table2[[#This Row],[Job Market Score]]*'Weighted Scores'!$S$8</calculatedColumnFormula>
    </tableColumn>
    <tableColumn id="10" xr3:uid="{0DBEF4FF-0FAD-4CFF-8B46-A11A1071591E}" name="Number of Parks" dataDxfId="6">
      <calculatedColumnFormula>Table2[[#This Row],[Number of Parks]]*'Weighted Scores'!$S$9</calculatedColumnFormula>
    </tableColumn>
    <tableColumn id="11" xr3:uid="{C80D9CCB-F226-4930-B73F-52E2ABA1DA9C}" name="Number of Museums" dataDxfId="5">
      <calculatedColumnFormula>Table2[[#This Row],[Number of Museums]]*'Weighted Scores'!$S$10</calculatedColumnFormula>
    </tableColumn>
    <tableColumn id="12" xr3:uid="{C65F4662-8E5E-48A9-AB52-8480E9E7826E}" name="Nightlife score (0-10)" dataDxfId="4">
      <calculatedColumnFormula>Table2[[#This Row],[Nightlife score (0-10)]]*'Weighted Scores'!$S$11</calculatedColumnFormula>
    </tableColumn>
    <tableColumn id="13" xr3:uid="{8A6E50D8-0D9C-40E5-BF38-E6C097A30A44}" name="Number of Restaurants" dataDxfId="3">
      <calculatedColumnFormula>Table2[[#This Row],[Number of Restaurants]]*'Weighted Scores'!$S$12</calculatedColumnFormula>
    </tableColumn>
    <tableColumn id="14" xr3:uid="{DA7F4887-0967-42B1-95B9-0C649A2D6282}" name="Number of Theaters" dataDxfId="2">
      <calculatedColumnFormula>Table2[[#This Row],[Number of Theaters]]*'Weighted Scores'!$S$13</calculatedColumnFormula>
    </tableColumn>
    <tableColumn id="15" xr3:uid="{DD80EFD6-64A9-416E-9356-88E448D68284}" name="Annual Cultural Events" dataDxfId="1">
      <calculatedColumnFormula>Table2[[#This Row],[Annual Cultural Events]]*'Weighted Scores'!$S$14</calculatedColumnFormula>
    </tableColumn>
    <tableColumn id="16" xr3:uid="{71098337-D8DD-4B62-8862-7981CE5EB589}" name="Overall Rating" dataDxfId="0">
      <calculatedColumnFormula>SUM(Table24[[#This Row],[Indian Population %]:[Annual Cultural Events]])</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file/d/1qz_VJDCNYzR-bxj2JgMdEqN_Rtwd5SHC/view?usp=drive_link" TargetMode="External"/><Relationship Id="rId3" Type="http://schemas.openxmlformats.org/officeDocument/2006/relationships/hyperlink" Target="https://wallethub.com/edu/best-cities-for-jobs/11573" TargetMode="External"/><Relationship Id="rId7" Type="http://schemas.openxmlformats.org/officeDocument/2006/relationships/hyperlink" Target="https://www.numbeo.com/" TargetMode="External"/><Relationship Id="rId2" Type="http://schemas.openxmlformats.org/officeDocument/2006/relationships/hyperlink" Target="https://taxfoundation.org/data/all/state/sales-tax-rates-major-us-cities/" TargetMode="External"/><Relationship Id="rId1" Type="http://schemas.openxmlformats.org/officeDocument/2006/relationships/hyperlink" Target="https://taxfoundation.org/data/all/state/2024-sales-taxes/" TargetMode="External"/><Relationship Id="rId6" Type="http://schemas.openxmlformats.org/officeDocument/2006/relationships/hyperlink" Target="https://www.eventbrite.com/" TargetMode="External"/><Relationship Id="rId5" Type="http://schemas.openxmlformats.org/officeDocument/2006/relationships/hyperlink" Target="https://www.tripadvisor.com/" TargetMode="External"/><Relationship Id="rId4" Type="http://schemas.openxmlformats.org/officeDocument/2006/relationships/hyperlink" Target="https://www.mentalfloss.com/article/best-cities-job-seeker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58FF-7A94-4B9E-B9C6-DECD8FABC00F}">
  <sheetPr codeName="Sheet1"/>
  <dimension ref="A1:N31"/>
  <sheetViews>
    <sheetView zoomScale="99" workbookViewId="0">
      <selection activeCell="E5" sqref="E5"/>
    </sheetView>
  </sheetViews>
  <sheetFormatPr defaultRowHeight="15" customHeight="1" x14ac:dyDescent="0.3"/>
  <cols>
    <col min="1" max="1" width="18.33203125" customWidth="1"/>
    <col min="2" max="2" width="20.33203125" customWidth="1"/>
    <col min="3" max="3" width="19.33203125" customWidth="1"/>
    <col min="4" max="4" width="19.44140625" customWidth="1"/>
    <col min="5" max="5" width="19.109375" customWidth="1"/>
    <col min="6" max="6" width="20.5546875" customWidth="1"/>
    <col min="7" max="7" width="20.21875" customWidth="1"/>
    <col min="8" max="8" width="18.21875" customWidth="1"/>
    <col min="9" max="9" width="16.5546875" customWidth="1"/>
    <col min="10" max="10" width="19.77734375" customWidth="1"/>
    <col min="11" max="11" width="20.21875" customWidth="1"/>
    <col min="12" max="12" width="21.77734375" customWidth="1"/>
    <col min="13" max="13" width="19" customWidth="1"/>
    <col min="14" max="14" width="21.33203125" customWidth="1"/>
  </cols>
  <sheetData>
    <row r="1" spans="1:14" ht="21.6" customHeight="1" x14ac:dyDescent="0.3">
      <c r="A1" s="2" t="s">
        <v>0</v>
      </c>
      <c r="B1" s="2" t="s">
        <v>1</v>
      </c>
      <c r="C1" s="2" t="s">
        <v>2</v>
      </c>
      <c r="D1" s="2" t="s">
        <v>3</v>
      </c>
      <c r="E1" s="2" t="s">
        <v>4</v>
      </c>
      <c r="F1" s="2" t="s">
        <v>5</v>
      </c>
      <c r="G1" s="2" t="s">
        <v>6</v>
      </c>
      <c r="H1" s="2" t="s">
        <v>7</v>
      </c>
      <c r="I1" s="34" t="s">
        <v>8</v>
      </c>
      <c r="J1" s="34" t="s">
        <v>9</v>
      </c>
      <c r="K1" s="34" t="s">
        <v>10</v>
      </c>
      <c r="L1" s="34" t="s">
        <v>11</v>
      </c>
      <c r="M1" s="34" t="s">
        <v>12</v>
      </c>
      <c r="N1" s="34" t="s">
        <v>13</v>
      </c>
    </row>
    <row r="2" spans="1:14" ht="14.4" x14ac:dyDescent="0.3">
      <c r="A2" s="3" t="s">
        <v>18</v>
      </c>
      <c r="B2" s="3">
        <v>2.0499999999999998</v>
      </c>
      <c r="C2" s="41">
        <v>7.25</v>
      </c>
      <c r="D2" s="41">
        <v>1.25</v>
      </c>
      <c r="E2" s="41">
        <v>8.5</v>
      </c>
      <c r="F2" s="3">
        <v>669</v>
      </c>
      <c r="G2" s="3">
        <v>177.6</v>
      </c>
      <c r="H2" s="3">
        <v>4.5</v>
      </c>
      <c r="I2" s="11">
        <v>220</v>
      </c>
      <c r="J2" s="11">
        <v>50</v>
      </c>
      <c r="K2" s="12">
        <v>8</v>
      </c>
      <c r="L2" s="11">
        <v>4500</v>
      </c>
      <c r="M2" s="11">
        <v>50</v>
      </c>
      <c r="N2" s="11">
        <v>40</v>
      </c>
    </row>
    <row r="3" spans="1:14" ht="14.4" x14ac:dyDescent="0.3">
      <c r="A3" s="3" t="s">
        <v>14</v>
      </c>
      <c r="B3" s="3">
        <v>1.89</v>
      </c>
      <c r="C3" s="41">
        <v>4</v>
      </c>
      <c r="D3" s="41">
        <v>4.875</v>
      </c>
      <c r="E3" s="41">
        <v>8.875</v>
      </c>
      <c r="F3" s="3">
        <v>540</v>
      </c>
      <c r="G3" s="3">
        <v>168.6</v>
      </c>
      <c r="H3" s="3">
        <v>4</v>
      </c>
      <c r="I3" s="11">
        <v>1700</v>
      </c>
      <c r="J3" s="11">
        <v>100</v>
      </c>
      <c r="K3" s="12">
        <v>10</v>
      </c>
      <c r="L3" s="11">
        <v>24000</v>
      </c>
      <c r="M3" s="11">
        <v>200</v>
      </c>
      <c r="N3" s="11">
        <v>100</v>
      </c>
    </row>
    <row r="4" spans="1:14" ht="14.4" x14ac:dyDescent="0.3">
      <c r="A4" s="3" t="s">
        <v>16</v>
      </c>
      <c r="B4" s="3">
        <v>1.28</v>
      </c>
      <c r="C4" s="41">
        <v>6.25</v>
      </c>
      <c r="D4" s="41">
        <v>4</v>
      </c>
      <c r="E4" s="41">
        <v>10.25</v>
      </c>
      <c r="F4" s="4">
        <v>1099</v>
      </c>
      <c r="G4" s="3">
        <v>119.5</v>
      </c>
      <c r="H4" s="3">
        <v>3.8</v>
      </c>
      <c r="I4" s="11">
        <v>600</v>
      </c>
      <c r="J4" s="11">
        <v>60</v>
      </c>
      <c r="K4" s="12">
        <v>8.5</v>
      </c>
      <c r="L4" s="11">
        <v>7500</v>
      </c>
      <c r="M4" s="11">
        <v>200</v>
      </c>
      <c r="N4" s="11">
        <v>50</v>
      </c>
    </row>
    <row r="5" spans="1:14" ht="14.4" x14ac:dyDescent="0.3">
      <c r="A5" s="3" t="s">
        <v>17</v>
      </c>
      <c r="B5" s="3">
        <v>1.1599999999999999</v>
      </c>
      <c r="C5" s="41">
        <v>6</v>
      </c>
      <c r="D5" s="41">
        <v>0</v>
      </c>
      <c r="E5" s="41">
        <v>6</v>
      </c>
      <c r="F5" s="4">
        <v>1049</v>
      </c>
      <c r="G5" s="3">
        <v>155</v>
      </c>
      <c r="H5" s="3">
        <v>4.2</v>
      </c>
      <c r="I5" s="11">
        <v>300</v>
      </c>
      <c r="J5" s="11">
        <v>70</v>
      </c>
      <c r="K5" s="12">
        <v>7.5</v>
      </c>
      <c r="L5" s="11">
        <v>2200</v>
      </c>
      <c r="M5" s="11">
        <v>90</v>
      </c>
      <c r="N5" s="11">
        <v>60</v>
      </c>
    </row>
    <row r="6" spans="1:14" ht="14.4" x14ac:dyDescent="0.3">
      <c r="A6" s="3" t="s">
        <v>23</v>
      </c>
      <c r="B6" s="3">
        <v>1.1100000000000001</v>
      </c>
      <c r="C6" s="41">
        <v>6.25</v>
      </c>
      <c r="D6" s="41">
        <v>2</v>
      </c>
      <c r="E6" s="41">
        <v>8.25</v>
      </c>
      <c r="F6" s="4">
        <v>1026</v>
      </c>
      <c r="G6" s="3">
        <v>103</v>
      </c>
      <c r="H6" s="3">
        <v>4</v>
      </c>
      <c r="I6" s="11">
        <v>370</v>
      </c>
      <c r="J6" s="11">
        <v>150</v>
      </c>
      <c r="K6" s="12">
        <v>7.5</v>
      </c>
      <c r="L6" s="11">
        <v>10000</v>
      </c>
      <c r="M6" s="11">
        <v>50</v>
      </c>
      <c r="N6" s="11">
        <v>20</v>
      </c>
    </row>
    <row r="7" spans="1:14" ht="14.4" x14ac:dyDescent="0.3">
      <c r="A7" s="3" t="s">
        <v>22</v>
      </c>
      <c r="B7" s="3">
        <v>0.95</v>
      </c>
      <c r="C7" s="41">
        <v>6.25</v>
      </c>
      <c r="D7" s="41">
        <v>2</v>
      </c>
      <c r="E7" s="41">
        <v>8.25</v>
      </c>
      <c r="F7" s="3">
        <v>762</v>
      </c>
      <c r="G7" s="3">
        <v>107</v>
      </c>
      <c r="H7" s="3">
        <v>4.0999999999999996</v>
      </c>
      <c r="I7" s="11">
        <v>400</v>
      </c>
      <c r="J7" s="11">
        <v>80</v>
      </c>
      <c r="K7" s="12">
        <v>7.5</v>
      </c>
      <c r="L7" s="11">
        <v>6000</v>
      </c>
      <c r="M7" s="11">
        <v>60</v>
      </c>
      <c r="N7" s="11">
        <v>30</v>
      </c>
    </row>
    <row r="8" spans="1:14" ht="14.4" x14ac:dyDescent="0.3">
      <c r="A8" s="3" t="s">
        <v>37</v>
      </c>
      <c r="B8" s="3">
        <v>0.95</v>
      </c>
      <c r="C8" s="41">
        <v>7.25</v>
      </c>
      <c r="D8" s="41">
        <v>1</v>
      </c>
      <c r="E8" s="41">
        <v>8.25</v>
      </c>
      <c r="F8" s="3">
        <v>712</v>
      </c>
      <c r="G8" s="3">
        <v>118.5</v>
      </c>
      <c r="H8" s="3">
        <v>3.9</v>
      </c>
      <c r="I8" s="11">
        <v>220</v>
      </c>
      <c r="J8" s="11">
        <v>40</v>
      </c>
      <c r="K8" s="12">
        <v>6</v>
      </c>
      <c r="L8" s="11">
        <v>2000</v>
      </c>
      <c r="M8" s="11">
        <v>20</v>
      </c>
      <c r="N8" s="11">
        <v>15</v>
      </c>
    </row>
    <row r="9" spans="1:14" ht="14.4" x14ac:dyDescent="0.3">
      <c r="A9" s="3" t="s">
        <v>24</v>
      </c>
      <c r="B9" s="3">
        <v>0.9</v>
      </c>
      <c r="C9" s="41">
        <v>4</v>
      </c>
      <c r="D9" s="41">
        <v>4</v>
      </c>
      <c r="E9" s="41">
        <v>8</v>
      </c>
      <c r="F9" s="4">
        <v>1433</v>
      </c>
      <c r="G9" s="3">
        <v>102.4</v>
      </c>
      <c r="H9" s="3">
        <v>4.2</v>
      </c>
      <c r="I9" s="11">
        <v>300</v>
      </c>
      <c r="J9" s="11">
        <v>75</v>
      </c>
      <c r="K9" s="12">
        <v>9</v>
      </c>
      <c r="L9" s="11">
        <v>3500</v>
      </c>
      <c r="M9" s="11">
        <v>30</v>
      </c>
      <c r="N9" s="11">
        <v>25</v>
      </c>
    </row>
    <row r="10" spans="1:14" ht="14.4" x14ac:dyDescent="0.3">
      <c r="A10" s="3" t="s">
        <v>19</v>
      </c>
      <c r="B10" s="3">
        <v>0.85</v>
      </c>
      <c r="C10" s="41">
        <v>6</v>
      </c>
      <c r="D10" s="41">
        <v>2</v>
      </c>
      <c r="E10" s="41">
        <v>8</v>
      </c>
      <c r="F10" s="3">
        <v>908</v>
      </c>
      <c r="G10" s="3">
        <v>110</v>
      </c>
      <c r="H10" s="3">
        <v>3.7</v>
      </c>
      <c r="I10" s="11">
        <v>300</v>
      </c>
      <c r="J10" s="11">
        <v>100</v>
      </c>
      <c r="K10" s="12">
        <v>7.5</v>
      </c>
      <c r="L10" s="11">
        <v>6000</v>
      </c>
      <c r="M10" s="11">
        <v>50</v>
      </c>
      <c r="N10" s="11">
        <v>30</v>
      </c>
    </row>
    <row r="11" spans="1:14" ht="14.4" x14ac:dyDescent="0.3">
      <c r="A11" s="3" t="s">
        <v>21</v>
      </c>
      <c r="B11" s="3">
        <v>0.84</v>
      </c>
      <c r="C11" s="41">
        <v>6</v>
      </c>
      <c r="D11" s="41">
        <v>0</v>
      </c>
      <c r="E11" s="41">
        <v>6</v>
      </c>
      <c r="F11" s="4">
        <v>2007</v>
      </c>
      <c r="G11" s="3">
        <v>96.7</v>
      </c>
      <c r="H11" s="3">
        <v>2.8</v>
      </c>
      <c r="I11" s="11">
        <v>300</v>
      </c>
      <c r="J11" s="11">
        <v>30</v>
      </c>
      <c r="K11" s="12">
        <v>7.5</v>
      </c>
      <c r="L11" s="11">
        <v>1500</v>
      </c>
      <c r="M11" s="11">
        <v>20</v>
      </c>
      <c r="N11" s="11">
        <v>20</v>
      </c>
    </row>
    <row r="12" spans="1:14" ht="14.4" x14ac:dyDescent="0.3">
      <c r="A12" s="3" t="s">
        <v>40</v>
      </c>
      <c r="B12" s="3">
        <v>0.79</v>
      </c>
      <c r="C12" s="41">
        <v>6</v>
      </c>
      <c r="D12" s="41">
        <v>1</v>
      </c>
      <c r="E12" s="41">
        <v>7</v>
      </c>
      <c r="F12" s="3">
        <v>860</v>
      </c>
      <c r="G12" s="3">
        <v>100.2</v>
      </c>
      <c r="H12" s="3">
        <v>4.0999999999999996</v>
      </c>
      <c r="I12" s="11">
        <v>150</v>
      </c>
      <c r="J12" s="11">
        <v>30</v>
      </c>
      <c r="K12" s="12">
        <v>8.5</v>
      </c>
      <c r="L12" s="11">
        <v>1500</v>
      </c>
      <c r="M12" s="11">
        <v>20</v>
      </c>
      <c r="N12" s="11">
        <v>15</v>
      </c>
    </row>
    <row r="13" spans="1:14" ht="14.4" x14ac:dyDescent="0.3">
      <c r="A13" s="3" t="s">
        <v>20</v>
      </c>
      <c r="B13" s="3">
        <v>0.75</v>
      </c>
      <c r="C13" s="41">
        <v>6.25</v>
      </c>
      <c r="D13" s="41">
        <v>0</v>
      </c>
      <c r="E13" s="41">
        <v>6.25</v>
      </c>
      <c r="F13" s="3">
        <v>622</v>
      </c>
      <c r="G13" s="3">
        <v>159.1</v>
      </c>
      <c r="H13" s="3">
        <v>4.3</v>
      </c>
      <c r="I13" s="11">
        <v>200</v>
      </c>
      <c r="J13" s="11">
        <v>60</v>
      </c>
      <c r="K13" s="12">
        <v>7</v>
      </c>
      <c r="L13" s="11">
        <v>3000</v>
      </c>
      <c r="M13" s="11">
        <v>40</v>
      </c>
      <c r="N13" s="11">
        <v>25</v>
      </c>
    </row>
    <row r="14" spans="1:14" ht="14.4" x14ac:dyDescent="0.3">
      <c r="A14" s="3" t="s">
        <v>15</v>
      </c>
      <c r="B14" s="3">
        <v>0.64</v>
      </c>
      <c r="C14" s="41">
        <v>7.25</v>
      </c>
      <c r="D14" s="41">
        <v>1.5</v>
      </c>
      <c r="E14" s="41">
        <v>8.75</v>
      </c>
      <c r="F14" s="3">
        <v>748</v>
      </c>
      <c r="G14" s="3">
        <v>149</v>
      </c>
      <c r="H14" s="3">
        <v>3.5</v>
      </c>
      <c r="I14" s="11">
        <v>450</v>
      </c>
      <c r="J14" s="11">
        <v>200</v>
      </c>
      <c r="K14" s="12">
        <v>9.5</v>
      </c>
      <c r="L14" s="11">
        <v>29000</v>
      </c>
      <c r="M14" s="11">
        <v>80</v>
      </c>
      <c r="N14" s="11">
        <v>50</v>
      </c>
    </row>
    <row r="15" spans="1:14" ht="14.4" x14ac:dyDescent="0.3">
      <c r="A15" s="3" t="s">
        <v>25</v>
      </c>
      <c r="B15" s="3">
        <v>0.61</v>
      </c>
      <c r="C15" s="41">
        <v>6</v>
      </c>
      <c r="D15" s="41">
        <v>1</v>
      </c>
      <c r="E15" s="41">
        <v>7</v>
      </c>
      <c r="F15" s="3">
        <v>629</v>
      </c>
      <c r="G15" s="3">
        <v>122</v>
      </c>
      <c r="H15" s="3">
        <v>4</v>
      </c>
      <c r="I15" s="11">
        <v>250</v>
      </c>
      <c r="J15" s="11">
        <v>50</v>
      </c>
      <c r="K15" s="12">
        <v>9.5</v>
      </c>
      <c r="L15" s="11">
        <v>4000</v>
      </c>
      <c r="M15" s="11">
        <v>30</v>
      </c>
      <c r="N15" s="11">
        <v>20</v>
      </c>
    </row>
    <row r="16" spans="1:14" ht="14.4" x14ac:dyDescent="0.3">
      <c r="A16" s="3" t="s">
        <v>26</v>
      </c>
      <c r="B16" s="3">
        <v>0.56999999999999995</v>
      </c>
      <c r="C16" s="41">
        <v>6.5</v>
      </c>
      <c r="D16" s="41">
        <v>3</v>
      </c>
      <c r="E16" s="41">
        <v>9.5</v>
      </c>
      <c r="F16" s="3">
        <v>620</v>
      </c>
      <c r="G16" s="3">
        <v>152.4</v>
      </c>
      <c r="H16" s="3">
        <v>4.5</v>
      </c>
      <c r="I16" s="11">
        <v>400</v>
      </c>
      <c r="J16" s="11">
        <v>60</v>
      </c>
      <c r="K16" s="12">
        <v>7</v>
      </c>
      <c r="L16" s="11">
        <v>3000</v>
      </c>
      <c r="M16" s="11">
        <v>40</v>
      </c>
      <c r="N16" s="11">
        <v>25</v>
      </c>
    </row>
    <row r="17" spans="1:14" ht="14.4" x14ac:dyDescent="0.3">
      <c r="A17" s="3" t="s">
        <v>28</v>
      </c>
      <c r="B17" s="3">
        <v>0.49</v>
      </c>
      <c r="C17" s="41">
        <v>6.875</v>
      </c>
      <c r="D17" s="41">
        <v>0.9</v>
      </c>
      <c r="E17" s="41">
        <v>7.7750000000000004</v>
      </c>
      <c r="F17" s="4">
        <v>1101</v>
      </c>
      <c r="G17" s="3">
        <v>109</v>
      </c>
      <c r="H17" s="3">
        <v>4.2</v>
      </c>
      <c r="I17" s="11">
        <v>350</v>
      </c>
      <c r="J17" s="11">
        <v>50</v>
      </c>
      <c r="K17" s="12">
        <v>7</v>
      </c>
      <c r="L17" s="11">
        <v>2800</v>
      </c>
      <c r="M17" s="11">
        <v>30</v>
      </c>
      <c r="N17" s="11">
        <v>20</v>
      </c>
    </row>
    <row r="18" spans="1:14" ht="14.4" x14ac:dyDescent="0.3">
      <c r="A18" s="3" t="s">
        <v>33</v>
      </c>
      <c r="B18" s="3">
        <v>0.45</v>
      </c>
      <c r="C18" s="41">
        <v>6</v>
      </c>
      <c r="D18" s="41">
        <v>1.5</v>
      </c>
      <c r="E18" s="41">
        <v>7.5</v>
      </c>
      <c r="F18" s="3">
        <v>428</v>
      </c>
      <c r="G18" s="3">
        <v>100.6</v>
      </c>
      <c r="H18" s="3">
        <v>4</v>
      </c>
      <c r="I18" s="11">
        <v>200</v>
      </c>
      <c r="J18" s="11">
        <v>40</v>
      </c>
      <c r="K18" s="12">
        <v>7</v>
      </c>
      <c r="L18" s="11">
        <v>2000</v>
      </c>
      <c r="M18" s="11">
        <v>20</v>
      </c>
      <c r="N18" s="11">
        <v>15</v>
      </c>
    </row>
    <row r="19" spans="1:14" ht="14.4" x14ac:dyDescent="0.3">
      <c r="A19" s="3" t="s">
        <v>29</v>
      </c>
      <c r="B19" s="3">
        <v>0.43</v>
      </c>
      <c r="C19" s="41">
        <v>5.5</v>
      </c>
      <c r="D19" s="41">
        <v>2.25</v>
      </c>
      <c r="E19" s="41">
        <v>7.75</v>
      </c>
      <c r="F19" s="4">
        <v>1517</v>
      </c>
      <c r="G19" s="3">
        <v>89.4</v>
      </c>
      <c r="H19" s="3">
        <v>3.2</v>
      </c>
      <c r="I19" s="11">
        <v>150</v>
      </c>
      <c r="J19" s="11">
        <v>30</v>
      </c>
      <c r="K19" s="12">
        <v>6.5</v>
      </c>
      <c r="L19" s="11">
        <v>1200</v>
      </c>
      <c r="M19" s="11">
        <v>20</v>
      </c>
      <c r="N19" s="11">
        <v>15</v>
      </c>
    </row>
    <row r="20" spans="1:14" ht="14.4" x14ac:dyDescent="0.3">
      <c r="A20" s="3" t="s">
        <v>39</v>
      </c>
      <c r="B20" s="3">
        <v>0.42</v>
      </c>
      <c r="C20" s="41">
        <v>5</v>
      </c>
      <c r="D20" s="41">
        <v>0.5</v>
      </c>
      <c r="E20" s="41">
        <v>5.5</v>
      </c>
      <c r="F20" s="4">
        <v>1332</v>
      </c>
      <c r="G20" s="3">
        <v>92</v>
      </c>
      <c r="H20" s="3">
        <v>3.5</v>
      </c>
      <c r="I20" s="11">
        <v>140</v>
      </c>
      <c r="J20" s="11">
        <v>30</v>
      </c>
      <c r="K20" s="12">
        <v>6.5</v>
      </c>
      <c r="L20" s="11">
        <v>1200</v>
      </c>
      <c r="M20" s="11">
        <v>20</v>
      </c>
      <c r="N20" s="11">
        <v>15</v>
      </c>
    </row>
    <row r="21" spans="1:14" ht="14.4" x14ac:dyDescent="0.3">
      <c r="A21" s="3" t="s">
        <v>36</v>
      </c>
      <c r="B21" s="3">
        <v>0.4</v>
      </c>
      <c r="C21" s="41">
        <v>5.75</v>
      </c>
      <c r="D21" s="41">
        <v>1</v>
      </c>
      <c r="E21" s="41">
        <v>6.75</v>
      </c>
      <c r="F21" s="3">
        <v>897</v>
      </c>
      <c r="G21" s="3">
        <v>89.7</v>
      </c>
      <c r="H21" s="3">
        <v>3.7</v>
      </c>
      <c r="I21" s="11">
        <v>150</v>
      </c>
      <c r="J21" s="11">
        <v>30</v>
      </c>
      <c r="K21" s="12">
        <v>6.5</v>
      </c>
      <c r="L21" s="11">
        <v>1200</v>
      </c>
      <c r="M21" s="11">
        <v>20</v>
      </c>
      <c r="N21" s="11">
        <v>15</v>
      </c>
    </row>
    <row r="22" spans="1:14" ht="14.4" x14ac:dyDescent="0.3">
      <c r="A22" s="3" t="s">
        <v>35</v>
      </c>
      <c r="B22" s="3">
        <v>0.38</v>
      </c>
      <c r="C22" s="41">
        <v>0</v>
      </c>
      <c r="D22" s="41">
        <v>0</v>
      </c>
      <c r="E22" s="41">
        <v>0</v>
      </c>
      <c r="F22" s="3">
        <v>522</v>
      </c>
      <c r="G22" s="3">
        <v>125.5</v>
      </c>
      <c r="H22" s="3">
        <v>4.2</v>
      </c>
      <c r="I22" s="11">
        <v>275</v>
      </c>
      <c r="J22" s="11">
        <v>50</v>
      </c>
      <c r="K22" s="12">
        <v>7.5</v>
      </c>
      <c r="L22" s="11">
        <v>2800</v>
      </c>
      <c r="M22" s="11">
        <v>30</v>
      </c>
      <c r="N22" s="11">
        <v>20</v>
      </c>
    </row>
    <row r="23" spans="1:14" ht="14.4" x14ac:dyDescent="0.3">
      <c r="A23" s="3" t="s">
        <v>34</v>
      </c>
      <c r="B23" s="3">
        <v>0.37</v>
      </c>
      <c r="C23" s="41">
        <v>6</v>
      </c>
      <c r="D23" s="41">
        <v>1</v>
      </c>
      <c r="E23" s="41">
        <v>7</v>
      </c>
      <c r="F23" s="3">
        <v>610</v>
      </c>
      <c r="G23" s="3">
        <v>92</v>
      </c>
      <c r="H23" s="3">
        <v>3.6</v>
      </c>
      <c r="I23" s="11">
        <v>165</v>
      </c>
      <c r="J23" s="11">
        <v>35</v>
      </c>
      <c r="K23" s="12">
        <v>6.5</v>
      </c>
      <c r="L23" s="11">
        <v>1500</v>
      </c>
      <c r="M23" s="11">
        <v>20</v>
      </c>
      <c r="N23" s="11">
        <v>15</v>
      </c>
    </row>
    <row r="24" spans="1:14" ht="14.4" x14ac:dyDescent="0.3">
      <c r="A24" s="3" t="s">
        <v>30</v>
      </c>
      <c r="B24" s="3">
        <v>0.36</v>
      </c>
      <c r="C24" s="41">
        <v>7.25</v>
      </c>
      <c r="D24" s="41">
        <v>1</v>
      </c>
      <c r="E24" s="41">
        <v>8.25</v>
      </c>
      <c r="F24" s="3">
        <v>369</v>
      </c>
      <c r="G24" s="3">
        <v>144.6</v>
      </c>
      <c r="H24" s="3">
        <v>4.2</v>
      </c>
      <c r="I24" s="11">
        <v>340</v>
      </c>
      <c r="J24" s="11">
        <v>70</v>
      </c>
      <c r="K24" s="12">
        <v>8</v>
      </c>
      <c r="L24" s="11">
        <v>4500</v>
      </c>
      <c r="M24" s="11">
        <v>50</v>
      </c>
      <c r="N24" s="11">
        <v>30</v>
      </c>
    </row>
    <row r="25" spans="1:14" ht="14.4" x14ac:dyDescent="0.3">
      <c r="A25" s="3" t="s">
        <v>27</v>
      </c>
      <c r="B25" s="3">
        <v>0.35</v>
      </c>
      <c r="C25" s="41">
        <v>6.6</v>
      </c>
      <c r="D25" s="41">
        <v>2.7</v>
      </c>
      <c r="E25" s="41">
        <v>9.3000000000000007</v>
      </c>
      <c r="F25" s="3">
        <v>733</v>
      </c>
      <c r="G25" s="3">
        <v>113</v>
      </c>
      <c r="H25" s="3">
        <v>4</v>
      </c>
      <c r="I25" s="11">
        <v>200</v>
      </c>
      <c r="J25" s="11">
        <v>40</v>
      </c>
      <c r="K25" s="12">
        <v>6.5</v>
      </c>
      <c r="L25" s="11">
        <v>2500</v>
      </c>
      <c r="M25" s="11">
        <v>20</v>
      </c>
      <c r="N25" s="11">
        <v>15</v>
      </c>
    </row>
    <row r="26" spans="1:14" ht="14.4" x14ac:dyDescent="0.3">
      <c r="A26" s="3" t="s">
        <v>32</v>
      </c>
      <c r="B26" s="3">
        <v>0.34</v>
      </c>
      <c r="C26" s="41">
        <v>2.9</v>
      </c>
      <c r="D26" s="41">
        <v>5.0999999999999996</v>
      </c>
      <c r="E26" s="41">
        <v>8</v>
      </c>
      <c r="F26" s="3">
        <v>730</v>
      </c>
      <c r="G26" s="3">
        <v>128.69999999999999</v>
      </c>
      <c r="H26" s="3">
        <v>4.3</v>
      </c>
      <c r="I26" s="11">
        <v>250</v>
      </c>
      <c r="J26" s="11">
        <v>50</v>
      </c>
      <c r="K26" s="12">
        <v>7.5</v>
      </c>
      <c r="L26" s="11">
        <v>2500</v>
      </c>
      <c r="M26" s="11">
        <v>30</v>
      </c>
      <c r="N26" s="11">
        <v>25</v>
      </c>
    </row>
    <row r="27" spans="1:14" ht="14.4" x14ac:dyDescent="0.3">
      <c r="A27" s="3" t="s">
        <v>38</v>
      </c>
      <c r="B27" s="3">
        <v>0.34</v>
      </c>
      <c r="C27" s="41">
        <v>4.2249999999999996</v>
      </c>
      <c r="D27" s="41">
        <v>3.625</v>
      </c>
      <c r="E27" s="41">
        <v>7.85</v>
      </c>
      <c r="F27" s="4">
        <v>1590</v>
      </c>
      <c r="G27" s="3">
        <v>94.8</v>
      </c>
      <c r="H27" s="3">
        <v>3.8</v>
      </c>
      <c r="I27" s="11">
        <v>220</v>
      </c>
      <c r="J27" s="11">
        <v>40</v>
      </c>
      <c r="K27" s="12">
        <v>6.5</v>
      </c>
      <c r="L27" s="11">
        <v>2000</v>
      </c>
      <c r="M27" s="11">
        <v>25</v>
      </c>
      <c r="N27" s="11">
        <v>20</v>
      </c>
    </row>
    <row r="28" spans="1:14" ht="14.4" x14ac:dyDescent="0.3">
      <c r="A28" s="3" t="s">
        <v>41</v>
      </c>
      <c r="B28" s="3">
        <v>0.33</v>
      </c>
      <c r="C28" s="41">
        <v>7</v>
      </c>
      <c r="D28" s="41">
        <v>0</v>
      </c>
      <c r="E28" s="41">
        <v>7</v>
      </c>
      <c r="F28" s="4">
        <v>1272</v>
      </c>
      <c r="G28" s="3">
        <v>93.5</v>
      </c>
      <c r="H28" s="3">
        <v>3.8</v>
      </c>
      <c r="I28" s="11">
        <v>210</v>
      </c>
      <c r="J28" s="11">
        <v>35</v>
      </c>
      <c r="K28" s="12">
        <v>6.5</v>
      </c>
      <c r="L28" s="11">
        <v>1800</v>
      </c>
      <c r="M28" s="11">
        <v>25</v>
      </c>
      <c r="N28" s="11">
        <v>20</v>
      </c>
    </row>
    <row r="29" spans="1:14" ht="14.4" x14ac:dyDescent="0.3">
      <c r="A29" s="3" t="s">
        <v>31</v>
      </c>
      <c r="B29" s="3">
        <v>0.32</v>
      </c>
      <c r="C29" s="41">
        <v>4.2249999999999996</v>
      </c>
      <c r="D29" s="41">
        <v>4.266</v>
      </c>
      <c r="E29" s="41">
        <v>8.4909999999999997</v>
      </c>
      <c r="F29" s="4">
        <v>1800</v>
      </c>
      <c r="G29" s="3">
        <v>96.5</v>
      </c>
      <c r="H29" s="3">
        <v>3.4</v>
      </c>
      <c r="I29" s="11">
        <v>200</v>
      </c>
      <c r="J29" s="11">
        <v>40</v>
      </c>
      <c r="K29" s="12">
        <v>6.5</v>
      </c>
      <c r="L29" s="11">
        <v>2000</v>
      </c>
      <c r="M29" s="11">
        <v>25</v>
      </c>
      <c r="N29" s="11">
        <v>20</v>
      </c>
    </row>
    <row r="30" spans="1:14" ht="14.4" x14ac:dyDescent="0.3">
      <c r="A30" s="3" t="s">
        <v>42</v>
      </c>
      <c r="B30" s="3">
        <v>0.25</v>
      </c>
      <c r="C30" s="41">
        <v>6.25</v>
      </c>
      <c r="D30" s="41">
        <v>1.875</v>
      </c>
      <c r="E30" s="41">
        <v>8.125</v>
      </c>
      <c r="F30" s="3">
        <v>708</v>
      </c>
      <c r="G30" s="3">
        <v>95.3</v>
      </c>
      <c r="H30" s="3">
        <v>4</v>
      </c>
      <c r="I30" s="11">
        <v>250</v>
      </c>
      <c r="J30" s="11">
        <v>50</v>
      </c>
      <c r="K30" s="12">
        <v>6.5</v>
      </c>
      <c r="L30" s="11">
        <v>2500</v>
      </c>
      <c r="M30" s="11">
        <v>30</v>
      </c>
      <c r="N30" s="11">
        <v>20</v>
      </c>
    </row>
    <row r="31" spans="1:14" ht="14.4" x14ac:dyDescent="0.3">
      <c r="A31" s="3" t="s">
        <v>43</v>
      </c>
      <c r="B31" s="3">
        <v>0.21</v>
      </c>
      <c r="C31" s="41">
        <v>5.3</v>
      </c>
      <c r="D31" s="41">
        <v>1</v>
      </c>
      <c r="E31" s="41">
        <v>6.3</v>
      </c>
      <c r="F31" s="3">
        <v>146</v>
      </c>
      <c r="G31" s="3">
        <v>102</v>
      </c>
      <c r="H31" s="3">
        <v>3.9</v>
      </c>
      <c r="I31" s="11">
        <v>180</v>
      </c>
      <c r="J31" s="11">
        <v>30</v>
      </c>
      <c r="K31" s="12">
        <v>6</v>
      </c>
      <c r="L31" s="11">
        <v>1500</v>
      </c>
      <c r="M31" s="11">
        <v>20</v>
      </c>
      <c r="N31" s="11">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23F0-C19B-4CD6-8660-AF77BB4DCF53}">
  <sheetPr codeName="Sheet7"/>
  <dimension ref="A1:N31"/>
  <sheetViews>
    <sheetView zoomScale="107" workbookViewId="0">
      <selection activeCell="B2" sqref="B2"/>
    </sheetView>
  </sheetViews>
  <sheetFormatPr defaultRowHeight="15" customHeight="1" x14ac:dyDescent="0.3"/>
  <cols>
    <col min="1" max="1" width="18.33203125" customWidth="1"/>
    <col min="2" max="2" width="20.33203125" customWidth="1"/>
    <col min="3" max="3" width="19.33203125" customWidth="1"/>
    <col min="4" max="4" width="19.44140625" customWidth="1"/>
    <col min="5" max="5" width="19.109375" customWidth="1"/>
    <col min="6" max="6" width="20.5546875" customWidth="1"/>
    <col min="7" max="7" width="20.21875" customWidth="1"/>
    <col min="8" max="8" width="18.21875" customWidth="1"/>
    <col min="9" max="9" width="16.5546875" customWidth="1"/>
    <col min="10" max="10" width="19.77734375" customWidth="1"/>
    <col min="11" max="11" width="20.21875" customWidth="1"/>
    <col min="12" max="12" width="21.77734375" customWidth="1"/>
    <col min="13" max="13" width="19" customWidth="1"/>
    <col min="14" max="14" width="21.33203125" customWidth="1"/>
  </cols>
  <sheetData>
    <row r="1" spans="1:14" ht="14.4" x14ac:dyDescent="0.3">
      <c r="A1" s="2" t="s">
        <v>0</v>
      </c>
      <c r="B1" s="2" t="s">
        <v>1</v>
      </c>
      <c r="C1" s="2" t="s">
        <v>2</v>
      </c>
      <c r="D1" s="2" t="s">
        <v>3</v>
      </c>
      <c r="E1" s="2" t="s">
        <v>4</v>
      </c>
      <c r="F1" s="2" t="s">
        <v>5</v>
      </c>
      <c r="G1" s="2" t="s">
        <v>6</v>
      </c>
      <c r="H1" s="2" t="s">
        <v>7</v>
      </c>
      <c r="I1" s="34" t="s">
        <v>8</v>
      </c>
      <c r="J1" s="34" t="s">
        <v>9</v>
      </c>
      <c r="K1" s="34" t="s">
        <v>10</v>
      </c>
      <c r="L1" s="34" t="s">
        <v>11</v>
      </c>
      <c r="M1" s="34" t="s">
        <v>12</v>
      </c>
      <c r="N1" s="34" t="s">
        <v>13</v>
      </c>
    </row>
    <row r="2" spans="1:14" ht="14.4" x14ac:dyDescent="0.3">
      <c r="A2" s="3" t="s">
        <v>14</v>
      </c>
      <c r="B2" s="35">
        <f>(([1]Dataset!B2-MIN([1]Dataset!$B$2:$B$31))/(MAX([1]Dataset!$B$2:$B$31)-MIN([1]Dataset!$B$2:$B$31)))*100</f>
        <v>91.304347826086968</v>
      </c>
      <c r="C2" s="35">
        <f>(([1]Dataset!C2-MIN([1]Dataset!$C$2:$C$31))/(MAX([1]Dataset!$C$2:$C$31)-MIN([1]Dataset!$C$2:$C$31)))*100</f>
        <v>55.172413793103445</v>
      </c>
      <c r="D2" s="35">
        <f>(([1]Dataset!D2-MIN([1]Dataset!$D$2:$D$31))/(MAX([1]Dataset!$D$2:$D$31)-MIN([1]Dataset!$D$2:$D$31)))*100</f>
        <v>95.588235294117652</v>
      </c>
      <c r="E2" s="35">
        <f>(([1]Dataset!E2-MIN([1]Dataset!$E$2:$E$31))/(MAX([1]Dataset!$E$2:$E$31)-MIN([1]Dataset!$E$2:$E$31)))*100</f>
        <v>86.58536585365853</v>
      </c>
      <c r="F2" s="35">
        <f>(([1]Dataset!F2-MIN([1]Dataset!$F$2:$F$31))/(MAX([1]Dataset!$F$2:$F$31)-MIN([1]Dataset!$F$2:$F$31)))*100</f>
        <v>21.171413218699627</v>
      </c>
      <c r="G2" s="35">
        <f>(([1]Dataset!G2-MIN([1]Dataset!$G$2:$G$31))/(MAX([1]Dataset!$G$2:$G$31)-MIN([1]Dataset!$G$2:$G$31)))*100</f>
        <v>89.795918367346943</v>
      </c>
      <c r="H2" s="35">
        <f>(([1]Dataset!H2-MIN([1]Dataset!$H$2:$H$31))/(MAX([1]Dataset!$H$2:$H$31)-MIN([1]Dataset!$H$2:$H$31)))*100</f>
        <v>70.588235294117652</v>
      </c>
      <c r="I2" s="11">
        <f>(([1]Dataset!J2-MIN([1]Dataset!$J$2:$J$31))/(MAX([1]Dataset!$J$2:$J$31)-MIN([1]Dataset!$J$2:$J$31)))*100</f>
        <v>100</v>
      </c>
      <c r="J2" s="11">
        <f>(([1]Dataset!K2-MIN([1]Dataset!$K$2:$K$31))/(MAX([1]Dataset!$K$2:$K$31)-MIN([1]Dataset!$K$2:$K$31)))*100</f>
        <v>41.17647058823529</v>
      </c>
      <c r="K2" s="12">
        <f>(([1]Dataset!L2-MIN([1]Dataset!$L$2:$L$31))/(MAX([1]Dataset!$L$2:$L$31)-MIN([1]Dataset!$L$2:$L$31)))*100</f>
        <v>100</v>
      </c>
      <c r="L2" s="11">
        <f>(([1]Dataset!M2-MIN([1]Dataset!$M$2:$M$31))/(MAX([1]Dataset!$M$2:$M$31)-MIN([1]Dataset!$M$2:$M$31)))*100</f>
        <v>82.014388489208628</v>
      </c>
      <c r="M2" s="11">
        <f>(([1]Dataset!N2-MIN([1]Dataset!$N$2:$N$31))/(MAX([1]Dataset!$N$2:$N$31)-MIN([1]Dataset!$N$2:$N$31)))*100</f>
        <v>100</v>
      </c>
      <c r="N2" s="11">
        <f>(([1]Dataset!O2-MIN([1]Dataset!$O$2:$O$31))/(MAX([1]Dataset!$O$2:$O$31)-MIN([1]Dataset!$O$2:$O$31)))*100</f>
        <v>100</v>
      </c>
    </row>
    <row r="3" spans="1:14" ht="14.4" x14ac:dyDescent="0.3">
      <c r="A3" s="3" t="s">
        <v>15</v>
      </c>
      <c r="B3" s="35">
        <f>(([1]Dataset!B3-MIN([1]Dataset!$B$2:$B$31))/(MAX([1]Dataset!$B$2:$B$31)-MIN([1]Dataset!$B$2:$B$31)))*100</f>
        <v>23.369565217391308</v>
      </c>
      <c r="C3" s="35">
        <f>(([1]Dataset!C3-MIN([1]Dataset!$C$2:$C$31))/(MAX([1]Dataset!$C$2:$C$31)-MIN([1]Dataset!$C$2:$C$31)))*100</f>
        <v>100</v>
      </c>
      <c r="D3" s="35">
        <f>(([1]Dataset!D3-MIN([1]Dataset!$D$2:$D$31))/(MAX([1]Dataset!$D$2:$D$31)-MIN([1]Dataset!$D$2:$D$31)))*100</f>
        <v>29.411764705882355</v>
      </c>
      <c r="E3" s="35">
        <f>(([1]Dataset!E3-MIN([1]Dataset!$E$2:$E$31))/(MAX([1]Dataset!$E$2:$E$31)-MIN([1]Dataset!$E$2:$E$31)))*100</f>
        <v>85.365853658536579</v>
      </c>
      <c r="F3" s="35">
        <f>(([1]Dataset!F3-MIN([1]Dataset!$F$2:$F$31))/(MAX([1]Dataset!$F$2:$F$31)-MIN([1]Dataset!$F$2:$F$31)))*100</f>
        <v>32.3481998925309</v>
      </c>
      <c r="G3" s="35">
        <f>(([1]Dataset!G3-MIN([1]Dataset!$G$2:$G$31))/(MAX([1]Dataset!$G$2:$G$31)-MIN([1]Dataset!$G$2:$G$31)))*100</f>
        <v>67.573696145124714</v>
      </c>
      <c r="H3" s="35">
        <f>(([1]Dataset!H3-MIN([1]Dataset!$H$2:$H$31))/(MAX([1]Dataset!$H$2:$H$31)-MIN([1]Dataset!$H$2:$H$31)))*100</f>
        <v>41.176470588235297</v>
      </c>
      <c r="I3" s="11">
        <f>(([1]Dataset!J3-MIN([1]Dataset!$J$2:$J$31))/(MAX([1]Dataset!$J$2:$J$31)-MIN([1]Dataset!$J$2:$J$31)))*100</f>
        <v>19.871794871794872</v>
      </c>
      <c r="J3" s="11">
        <f>(([1]Dataset!K3-MIN([1]Dataset!$K$2:$K$31))/(MAX([1]Dataset!$K$2:$K$31)-MIN([1]Dataset!$K$2:$K$31)))*100</f>
        <v>100</v>
      </c>
      <c r="K3" s="12">
        <f>(([1]Dataset!L3-MIN([1]Dataset!$L$2:$L$31))/(MAX([1]Dataset!$L$2:$L$31)-MIN([1]Dataset!$L$2:$L$31)))*100</f>
        <v>100</v>
      </c>
      <c r="L3" s="11">
        <f>(([1]Dataset!M3-MIN([1]Dataset!$M$2:$M$31))/(MAX([1]Dataset!$M$2:$M$31)-MIN([1]Dataset!$M$2:$M$31)))*100</f>
        <v>100</v>
      </c>
      <c r="M3" s="11">
        <f>(([1]Dataset!N3-MIN([1]Dataset!$N$2:$N$31))/(MAX([1]Dataset!$N$2:$N$31)-MIN([1]Dataset!$N$2:$N$31)))*100</f>
        <v>33.333333333333329</v>
      </c>
      <c r="N3" s="11">
        <f>(([1]Dataset!O3-MIN([1]Dataset!$O$2:$O$31))/(MAX([1]Dataset!$O$2:$O$31)-MIN([1]Dataset!$O$2:$O$31)))*100</f>
        <v>41.17647058823529</v>
      </c>
    </row>
    <row r="4" spans="1:14" ht="14.4" x14ac:dyDescent="0.3">
      <c r="A4" s="3" t="s">
        <v>16</v>
      </c>
      <c r="B4" s="35">
        <f>(([1]Dataset!B4-MIN([1]Dataset!$B$2:$B$31))/(MAX([1]Dataset!$B$2:$B$31)-MIN([1]Dataset!$B$2:$B$31)))*100</f>
        <v>58.152173913043484</v>
      </c>
      <c r="C4" s="35">
        <f>(([1]Dataset!C4-MIN([1]Dataset!$C$2:$C$31))/(MAX([1]Dataset!$C$2:$C$31)-MIN([1]Dataset!$C$2:$C$31)))*100</f>
        <v>86.206896551724128</v>
      </c>
      <c r="D4" s="35">
        <f>(([1]Dataset!D4-MIN([1]Dataset!$D$2:$D$31))/(MAX([1]Dataset!$D$2:$D$31)-MIN([1]Dataset!$D$2:$D$31)))*100</f>
        <v>78.431372549019613</v>
      </c>
      <c r="E4" s="35">
        <f>(([1]Dataset!E4-MIN([1]Dataset!$E$2:$E$31))/(MAX([1]Dataset!$E$2:$E$31)-MIN([1]Dataset!$E$2:$E$31)))*100</f>
        <v>100</v>
      </c>
      <c r="F4" s="35">
        <f>(([1]Dataset!F4-MIN([1]Dataset!$F$2:$F$31))/(MAX([1]Dataset!$F$2:$F$31)-MIN([1]Dataset!$F$2:$F$31)))*100</f>
        <v>51.209027404621175</v>
      </c>
      <c r="G4" s="35">
        <f>(([1]Dataset!G4-MIN([1]Dataset!$G$2:$G$31))/(MAX([1]Dataset!$G$2:$G$31)-MIN([1]Dataset!$G$2:$G$31)))*100</f>
        <v>34.126984126984119</v>
      </c>
      <c r="H4" s="35">
        <f>(([1]Dataset!H4-MIN([1]Dataset!$H$2:$H$31))/(MAX([1]Dataset!$H$2:$H$31)-MIN([1]Dataset!$H$2:$H$31)))*100</f>
        <v>58.823529411764696</v>
      </c>
      <c r="I4" s="11">
        <f>(([1]Dataset!J4-MIN([1]Dataset!$J$2:$J$31))/(MAX([1]Dataset!$J$2:$J$31)-MIN([1]Dataset!$J$2:$J$31)))*100</f>
        <v>29.487179487179489</v>
      </c>
      <c r="J4" s="11">
        <f>(([1]Dataset!K4-MIN([1]Dataset!$K$2:$K$31))/(MAX([1]Dataset!$K$2:$K$31)-MIN([1]Dataset!$K$2:$K$31)))*100</f>
        <v>17.647058823529413</v>
      </c>
      <c r="K4" s="12">
        <f>(([1]Dataset!L4-MIN([1]Dataset!$L$2:$L$31))/(MAX([1]Dataset!$L$2:$L$31)-MIN([1]Dataset!$L$2:$L$31)))*100</f>
        <v>75</v>
      </c>
      <c r="L4" s="11">
        <f>(([1]Dataset!M4-MIN([1]Dataset!$M$2:$M$31))/(MAX([1]Dataset!$M$2:$M$31)-MIN([1]Dataset!$M$2:$M$31)))*100</f>
        <v>22.661870503597122</v>
      </c>
      <c r="M4" s="11">
        <f>(([1]Dataset!N4-MIN([1]Dataset!$N$2:$N$31))/(MAX([1]Dataset!$N$2:$N$31)-MIN([1]Dataset!$N$2:$N$31)))*100</f>
        <v>100</v>
      </c>
      <c r="N4" s="11">
        <f>(([1]Dataset!O4-MIN([1]Dataset!$O$2:$O$31))/(MAX([1]Dataset!$O$2:$O$31)-MIN([1]Dataset!$O$2:$O$31)))*100</f>
        <v>41.17647058823529</v>
      </c>
    </row>
    <row r="5" spans="1:14" ht="14.4" x14ac:dyDescent="0.3">
      <c r="A5" s="3" t="s">
        <v>17</v>
      </c>
      <c r="B5" s="35">
        <f>(([1]Dataset!B5-MIN([1]Dataset!$B$2:$B$31))/(MAX([1]Dataset!$B$2:$B$31)-MIN([1]Dataset!$B$2:$B$31)))*100</f>
        <v>51.630434782608688</v>
      </c>
      <c r="C5" s="35">
        <f>(([1]Dataset!C5-MIN([1]Dataset!$C$2:$C$31))/(MAX([1]Dataset!$C$2:$C$31)-MIN([1]Dataset!$C$2:$C$31)))*100</f>
        <v>82.758620689655174</v>
      </c>
      <c r="D5" s="35">
        <f>(([1]Dataset!D5-MIN([1]Dataset!$D$2:$D$31))/(MAX([1]Dataset!$D$2:$D$31)-MIN([1]Dataset!$D$2:$D$31)))*100</f>
        <v>0</v>
      </c>
      <c r="E5" s="35">
        <f>(([1]Dataset!E5-MIN([1]Dataset!$E$2:$E$31))/(MAX([1]Dataset!$E$2:$E$31)-MIN([1]Dataset!$E$2:$E$31)))*100</f>
        <v>58.536585365853654</v>
      </c>
      <c r="F5" s="35">
        <f>(([1]Dataset!F5-MIN([1]Dataset!$F$2:$F$31))/(MAX([1]Dataset!$F$2:$F$31)-MIN([1]Dataset!$F$2:$F$31)))*100</f>
        <v>48.522299838796343</v>
      </c>
      <c r="G5" s="35">
        <f>(([1]Dataset!G5-MIN([1]Dataset!$G$2:$G$31))/(MAX([1]Dataset!$G$2:$G$31)-MIN([1]Dataset!$G$2:$G$31)))*100</f>
        <v>74.376417233560105</v>
      </c>
      <c r="H5" s="35">
        <f>(([1]Dataset!H5-MIN([1]Dataset!$H$2:$H$31))/(MAX([1]Dataset!$H$2:$H$31)-MIN([1]Dataset!$H$2:$H$31)))*100</f>
        <v>82.352941176470594</v>
      </c>
      <c r="I5" s="11">
        <f>(([1]Dataset!J5-MIN([1]Dataset!$J$2:$J$31))/(MAX([1]Dataset!$J$2:$J$31)-MIN([1]Dataset!$J$2:$J$31)))*100</f>
        <v>10.256410256410255</v>
      </c>
      <c r="J5" s="11">
        <f>(([1]Dataset!K5-MIN([1]Dataset!$K$2:$K$31))/(MAX([1]Dataset!$K$2:$K$31)-MIN([1]Dataset!$K$2:$K$31)))*100</f>
        <v>23.52941176470588</v>
      </c>
      <c r="K5" s="12">
        <f>(([1]Dataset!L5-MIN([1]Dataset!$L$2:$L$31))/(MAX([1]Dataset!$L$2:$L$31)-MIN([1]Dataset!$L$2:$L$31)))*100</f>
        <v>50</v>
      </c>
      <c r="L5" s="11">
        <f>(([1]Dataset!M5-MIN([1]Dataset!$M$2:$M$31))/(MAX([1]Dataset!$M$2:$M$31)-MIN([1]Dataset!$M$2:$M$31)))*100</f>
        <v>3.5971223021582732</v>
      </c>
      <c r="M5" s="11">
        <f>(([1]Dataset!N5-MIN([1]Dataset!$N$2:$N$31))/(MAX([1]Dataset!$N$2:$N$31)-MIN([1]Dataset!$N$2:$N$31)))*100</f>
        <v>38.888888888888893</v>
      </c>
      <c r="N5" s="11">
        <f>(([1]Dataset!O5-MIN([1]Dataset!$O$2:$O$31))/(MAX([1]Dataset!$O$2:$O$31)-MIN([1]Dataset!$O$2:$O$31)))*100</f>
        <v>52.941176470588239</v>
      </c>
    </row>
    <row r="6" spans="1:14" ht="14.4" x14ac:dyDescent="0.3">
      <c r="A6" s="3" t="s">
        <v>18</v>
      </c>
      <c r="B6" s="35">
        <f>(([1]Dataset!B6-MIN([1]Dataset!$B$2:$B$31))/(MAX([1]Dataset!$B$2:$B$31)-MIN([1]Dataset!$B$2:$B$31)))*100</f>
        <v>100</v>
      </c>
      <c r="C6" s="35">
        <f>(([1]Dataset!C6-MIN([1]Dataset!$C$2:$C$31))/(MAX([1]Dataset!$C$2:$C$31)-MIN([1]Dataset!$C$2:$C$31)))*100</f>
        <v>100</v>
      </c>
      <c r="D6" s="35">
        <f>(([1]Dataset!D6-MIN([1]Dataset!$D$2:$D$31))/(MAX([1]Dataset!$D$2:$D$31)-MIN([1]Dataset!$D$2:$D$31)))*100</f>
        <v>24.509803921568629</v>
      </c>
      <c r="E6" s="35">
        <f>(([1]Dataset!E6-MIN([1]Dataset!$E$2:$E$31))/(MAX([1]Dataset!$E$2:$E$31)-MIN([1]Dataset!$E$2:$E$31)))*100</f>
        <v>82.926829268292678</v>
      </c>
      <c r="F6" s="35">
        <f>(([1]Dataset!F6-MIN([1]Dataset!$F$2:$F$31))/(MAX([1]Dataset!$F$2:$F$31)-MIN([1]Dataset!$F$2:$F$31)))*100</f>
        <v>28.103170338527672</v>
      </c>
      <c r="G6" s="35">
        <f>(([1]Dataset!G6-MIN([1]Dataset!$G$2:$G$31))/(MAX([1]Dataset!$G$2:$G$31)-MIN([1]Dataset!$G$2:$G$31)))*100</f>
        <v>100</v>
      </c>
      <c r="H6" s="35">
        <f>(([1]Dataset!H6-MIN([1]Dataset!$H$2:$H$31))/(MAX([1]Dataset!$H$2:$H$31)-MIN([1]Dataset!$H$2:$H$31)))*100</f>
        <v>100</v>
      </c>
      <c r="I6" s="11">
        <f>(([1]Dataset!J6-MIN([1]Dataset!$J$2:$J$31))/(MAX([1]Dataset!$J$2:$J$31)-MIN([1]Dataset!$J$2:$J$31)))*100</f>
        <v>5.1282051282051277</v>
      </c>
      <c r="J6" s="11">
        <f>(([1]Dataset!K6-MIN([1]Dataset!$K$2:$K$31))/(MAX([1]Dataset!$K$2:$K$31)-MIN([1]Dataset!$K$2:$K$31)))*100</f>
        <v>11.76470588235294</v>
      </c>
      <c r="K6" s="12">
        <f>(([1]Dataset!L6-MIN([1]Dataset!$L$2:$L$31))/(MAX([1]Dataset!$L$2:$L$31)-MIN([1]Dataset!$L$2:$L$31)))*100</f>
        <v>50</v>
      </c>
      <c r="L6" s="11">
        <f>(([1]Dataset!M6-MIN([1]Dataset!$M$2:$M$31))/(MAX([1]Dataset!$M$2:$M$31)-MIN([1]Dataset!$M$2:$M$31)))*100</f>
        <v>11.870503597122301</v>
      </c>
      <c r="M6" s="11">
        <f>(([1]Dataset!N6-MIN([1]Dataset!$N$2:$N$31))/(MAX([1]Dataset!$N$2:$N$31)-MIN([1]Dataset!$N$2:$N$31)))*100</f>
        <v>16.666666666666664</v>
      </c>
      <c r="N6" s="11">
        <f>(([1]Dataset!O6-MIN([1]Dataset!$O$2:$O$31))/(MAX([1]Dataset!$O$2:$O$31)-MIN([1]Dataset!$O$2:$O$31)))*100</f>
        <v>29.411764705882355</v>
      </c>
    </row>
    <row r="7" spans="1:14" ht="14.4" x14ac:dyDescent="0.3">
      <c r="A7" s="3" t="s">
        <v>19</v>
      </c>
      <c r="B7" s="35">
        <f>(([1]Dataset!B7-MIN([1]Dataset!$B$2:$B$31))/(MAX([1]Dataset!$B$2:$B$31)-MIN([1]Dataset!$B$2:$B$31)))*100</f>
        <v>34.782608695652179</v>
      </c>
      <c r="C7" s="35">
        <f>(([1]Dataset!C7-MIN([1]Dataset!$C$2:$C$31))/(MAX([1]Dataset!$C$2:$C$31)-MIN([1]Dataset!$C$2:$C$31)))*100</f>
        <v>82.758620689655174</v>
      </c>
      <c r="D7" s="35">
        <f>(([1]Dataset!D7-MIN([1]Dataset!$D$2:$D$31))/(MAX([1]Dataset!$D$2:$D$31)-MIN([1]Dataset!$D$2:$D$31)))*100</f>
        <v>39.215686274509807</v>
      </c>
      <c r="E7" s="35">
        <f>(([1]Dataset!E7-MIN([1]Dataset!$E$2:$E$31))/(MAX([1]Dataset!$E$2:$E$31)-MIN([1]Dataset!$E$2:$E$31)))*100</f>
        <v>78.048780487804876</v>
      </c>
      <c r="F7" s="35">
        <f>(([1]Dataset!F7-MIN([1]Dataset!$F$2:$F$31))/(MAX([1]Dataset!$F$2:$F$31)-MIN([1]Dataset!$F$2:$F$31)))*100</f>
        <v>40.945728103170339</v>
      </c>
      <c r="G7" s="35">
        <f>(([1]Dataset!G7-MIN([1]Dataset!$G$2:$G$31))/(MAX([1]Dataset!$G$2:$G$31)-MIN([1]Dataset!$G$2:$G$31)))*100</f>
        <v>23.356009070294782</v>
      </c>
      <c r="H7" s="35">
        <f>(([1]Dataset!H7-MIN([1]Dataset!$H$2:$H$31))/(MAX([1]Dataset!$H$2:$H$31)-MIN([1]Dataset!$H$2:$H$31)))*100</f>
        <v>52.941176470588246</v>
      </c>
      <c r="I7" s="11">
        <f>(([1]Dataset!J7-MIN([1]Dataset!$J$2:$J$31))/(MAX([1]Dataset!$J$2:$J$31)-MIN([1]Dataset!$J$2:$J$31)))*100</f>
        <v>10.256410256410255</v>
      </c>
      <c r="J7" s="11">
        <f>(([1]Dataset!K7-MIN([1]Dataset!$K$2:$K$31))/(MAX([1]Dataset!$K$2:$K$31)-MIN([1]Dataset!$K$2:$K$31)))*100</f>
        <v>41.17647058823529</v>
      </c>
      <c r="K7" s="12">
        <f>(([1]Dataset!L7-MIN([1]Dataset!$L$2:$L$31))/(MAX([1]Dataset!$L$2:$L$31)-MIN([1]Dataset!$L$2:$L$31)))*100</f>
        <v>50</v>
      </c>
      <c r="L7" s="11">
        <f>(([1]Dataset!M7-MIN([1]Dataset!$M$2:$M$31))/(MAX([1]Dataset!$M$2:$M$31)-MIN([1]Dataset!$M$2:$M$31)))*100</f>
        <v>17.266187050359711</v>
      </c>
      <c r="M7" s="11">
        <f>(([1]Dataset!N7-MIN([1]Dataset!$N$2:$N$31))/(MAX([1]Dataset!$N$2:$N$31)-MIN([1]Dataset!$N$2:$N$31)))*100</f>
        <v>16.666666666666664</v>
      </c>
      <c r="N7" s="11">
        <f>(([1]Dataset!O7-MIN([1]Dataset!$O$2:$O$31))/(MAX([1]Dataset!$O$2:$O$31)-MIN([1]Dataset!$O$2:$O$31)))*100</f>
        <v>17.647058823529413</v>
      </c>
    </row>
    <row r="8" spans="1:14" ht="14.4" x14ac:dyDescent="0.3">
      <c r="A8" s="3" t="s">
        <v>20</v>
      </c>
      <c r="B8" s="35">
        <f>(([1]Dataset!B8-MIN([1]Dataset!$B$2:$B$31))/(MAX([1]Dataset!$B$2:$B$31)-MIN([1]Dataset!$B$2:$B$31)))*100</f>
        <v>29.347826086956523</v>
      </c>
      <c r="C8" s="35">
        <f>(([1]Dataset!C8-MIN([1]Dataset!$C$2:$C$31))/(MAX([1]Dataset!$C$2:$C$31)-MIN([1]Dataset!$C$2:$C$31)))*100</f>
        <v>86.206896551724128</v>
      </c>
      <c r="D8" s="35">
        <f>(([1]Dataset!D8-MIN([1]Dataset!$D$2:$D$31))/(MAX([1]Dataset!$D$2:$D$31)-MIN([1]Dataset!$D$2:$D$31)))*100</f>
        <v>0</v>
      </c>
      <c r="E8" s="35">
        <f>(([1]Dataset!E8-MIN([1]Dataset!$E$2:$E$31))/(MAX([1]Dataset!$E$2:$E$31)-MIN([1]Dataset!$E$2:$E$31)))*100</f>
        <v>60.975609756097562</v>
      </c>
      <c r="F8" s="35">
        <f>(([1]Dataset!F8-MIN([1]Dataset!$F$2:$F$31))/(MAX([1]Dataset!$F$2:$F$31)-MIN([1]Dataset!$F$2:$F$31)))*100</f>
        <v>25.57764642665234</v>
      </c>
      <c r="G8" s="35">
        <f>(([1]Dataset!G8-MIN([1]Dataset!$G$2:$G$31))/(MAX([1]Dataset!$G$2:$G$31)-MIN([1]Dataset!$G$2:$G$31)))*100</f>
        <v>79.024943310657591</v>
      </c>
      <c r="H8" s="35">
        <f>(([1]Dataset!H8-MIN([1]Dataset!$H$2:$H$31))/(MAX([1]Dataset!$H$2:$H$31)-MIN([1]Dataset!$H$2:$H$31)))*100</f>
        <v>88.235294117647044</v>
      </c>
      <c r="I8" s="11">
        <f>(([1]Dataset!J8-MIN([1]Dataset!$J$2:$J$31))/(MAX([1]Dataset!$J$2:$J$31)-MIN([1]Dataset!$J$2:$J$31)))*100</f>
        <v>3.8461538461538463</v>
      </c>
      <c r="J8" s="11">
        <f>(([1]Dataset!K8-MIN([1]Dataset!$K$2:$K$31))/(MAX([1]Dataset!$K$2:$K$31)-MIN([1]Dataset!$K$2:$K$31)))*100</f>
        <v>17.647058823529413</v>
      </c>
      <c r="K8" s="12">
        <f>(([1]Dataset!L8-MIN([1]Dataset!$L$2:$L$31))/(MAX([1]Dataset!$L$2:$L$31)-MIN([1]Dataset!$L$2:$L$31)))*100</f>
        <v>25</v>
      </c>
      <c r="L8" s="11">
        <f>(([1]Dataset!M8-MIN([1]Dataset!$M$2:$M$31))/(MAX([1]Dataset!$M$2:$M$31)-MIN([1]Dataset!$M$2:$M$31)))*100</f>
        <v>6.4748201438848918</v>
      </c>
      <c r="M8" s="11">
        <f>(([1]Dataset!N8-MIN([1]Dataset!$N$2:$N$31))/(MAX([1]Dataset!$N$2:$N$31)-MIN([1]Dataset!$N$2:$N$31)))*100</f>
        <v>11.111111111111111</v>
      </c>
      <c r="N8" s="11">
        <f>(([1]Dataset!O8-MIN([1]Dataset!$O$2:$O$31))/(MAX([1]Dataset!$O$2:$O$31)-MIN([1]Dataset!$O$2:$O$31)))*100</f>
        <v>11.76470588235294</v>
      </c>
    </row>
    <row r="9" spans="1:14" ht="14.4" x14ac:dyDescent="0.3">
      <c r="A9" s="3" t="s">
        <v>21</v>
      </c>
      <c r="B9" s="35">
        <f>(([1]Dataset!B9-MIN([1]Dataset!$B$2:$B$31))/(MAX([1]Dataset!$B$2:$B$31)-MIN([1]Dataset!$B$2:$B$31)))*100</f>
        <v>34.239130434782609</v>
      </c>
      <c r="C9" s="35">
        <f>(([1]Dataset!C9-MIN([1]Dataset!$C$2:$C$31))/(MAX([1]Dataset!$C$2:$C$31)-MIN([1]Dataset!$C$2:$C$31)))*100</f>
        <v>82.758620689655174</v>
      </c>
      <c r="D9" s="35">
        <f>(([1]Dataset!D9-MIN([1]Dataset!$D$2:$D$31))/(MAX([1]Dataset!$D$2:$D$31)-MIN([1]Dataset!$D$2:$D$31)))*100</f>
        <v>0</v>
      </c>
      <c r="E9" s="35">
        <f>(([1]Dataset!E9-MIN([1]Dataset!$E$2:$E$31))/(MAX([1]Dataset!$E$2:$E$31)-MIN([1]Dataset!$E$2:$E$31)))*100</f>
        <v>58.536585365853654</v>
      </c>
      <c r="F9" s="35">
        <f>(([1]Dataset!F9-MIN([1]Dataset!$F$2:$F$31))/(MAX([1]Dataset!$F$2:$F$31)-MIN([1]Dataset!$F$2:$F$31)))*100</f>
        <v>100</v>
      </c>
      <c r="G9" s="35">
        <f>(([1]Dataset!G9-MIN([1]Dataset!$G$2:$G$31))/(MAX([1]Dataset!$G$2:$G$31)-MIN([1]Dataset!$G$2:$G$31)))*100</f>
        <v>8.2766439909297027</v>
      </c>
      <c r="H9" s="35">
        <f>(([1]Dataset!H9-MIN([1]Dataset!$H$2:$H$31))/(MAX([1]Dataset!$H$2:$H$31)-MIN([1]Dataset!$H$2:$H$31)))*100</f>
        <v>0</v>
      </c>
      <c r="I9" s="11">
        <f>(([1]Dataset!J9-MIN([1]Dataset!$J$2:$J$31))/(MAX([1]Dataset!$J$2:$J$31)-MIN([1]Dataset!$J$2:$J$31)))*100</f>
        <v>10.256410256410255</v>
      </c>
      <c r="J9" s="11">
        <f>(([1]Dataset!K9-MIN([1]Dataset!$K$2:$K$31))/(MAX([1]Dataset!$K$2:$K$31)-MIN([1]Dataset!$K$2:$K$31)))*100</f>
        <v>0</v>
      </c>
      <c r="K9" s="12">
        <f>(([1]Dataset!L9-MIN([1]Dataset!$L$2:$L$31))/(MAX([1]Dataset!$L$2:$L$31)-MIN([1]Dataset!$L$2:$L$31)))*100</f>
        <v>50</v>
      </c>
      <c r="L9" s="11">
        <f>(([1]Dataset!M9-MIN([1]Dataset!$M$2:$M$31))/(MAX([1]Dataset!$M$2:$M$31)-MIN([1]Dataset!$M$2:$M$31)))*100</f>
        <v>1.079136690647482</v>
      </c>
      <c r="M9" s="11">
        <f>(([1]Dataset!N9-MIN([1]Dataset!$N$2:$N$31))/(MAX([1]Dataset!$N$2:$N$31)-MIN([1]Dataset!$N$2:$N$31)))*100</f>
        <v>0</v>
      </c>
      <c r="N9" s="11">
        <f>(([1]Dataset!O9-MIN([1]Dataset!$O$2:$O$31))/(MAX([1]Dataset!$O$2:$O$31)-MIN([1]Dataset!$O$2:$O$31)))*100</f>
        <v>5.8823529411764701</v>
      </c>
    </row>
    <row r="10" spans="1:14" ht="14.4" x14ac:dyDescent="0.3">
      <c r="A10" s="3" t="s">
        <v>22</v>
      </c>
      <c r="B10" s="35">
        <f>(([1]Dataset!B10-MIN([1]Dataset!$B$2:$B$31))/(MAX([1]Dataset!$B$2:$B$31)-MIN([1]Dataset!$B$2:$B$31)))*100</f>
        <v>40.217391304347828</v>
      </c>
      <c r="C10" s="35">
        <f>(([1]Dataset!C10-MIN([1]Dataset!$C$2:$C$31))/(MAX([1]Dataset!$C$2:$C$31)-MIN([1]Dataset!$C$2:$C$31)))*100</f>
        <v>86.206896551724128</v>
      </c>
      <c r="D10" s="35">
        <f>(([1]Dataset!D10-MIN([1]Dataset!$D$2:$D$31))/(MAX([1]Dataset!$D$2:$D$31)-MIN([1]Dataset!$D$2:$D$31)))*100</f>
        <v>39.215686274509807</v>
      </c>
      <c r="E10" s="35">
        <f>(([1]Dataset!E10-MIN([1]Dataset!$E$2:$E$31))/(MAX([1]Dataset!$E$2:$E$31)-MIN([1]Dataset!$E$2:$E$31)))*100</f>
        <v>80.487804878048792</v>
      </c>
      <c r="F10" s="35">
        <f>(([1]Dataset!F10-MIN([1]Dataset!$F$2:$F$31))/(MAX([1]Dataset!$F$2:$F$31)-MIN([1]Dataset!$F$2:$F$31)))*100</f>
        <v>33.100483610961852</v>
      </c>
      <c r="G10" s="35">
        <f>(([1]Dataset!G10-MIN([1]Dataset!$G$2:$G$31))/(MAX([1]Dataset!$G$2:$G$31)-MIN([1]Dataset!$G$2:$G$31)))*100</f>
        <v>19.954648526077094</v>
      </c>
      <c r="H10" s="35">
        <f>(([1]Dataset!H10-MIN([1]Dataset!$H$2:$H$31))/(MAX([1]Dataset!$H$2:$H$31)-MIN([1]Dataset!$H$2:$H$31)))*100</f>
        <v>76.470588235294102</v>
      </c>
      <c r="I10" s="11">
        <f>(([1]Dataset!J10-MIN([1]Dataset!$J$2:$J$31))/(MAX([1]Dataset!$J$2:$J$31)-MIN([1]Dataset!$J$2:$J$31)))*100</f>
        <v>16.666666666666664</v>
      </c>
      <c r="J10" s="11">
        <f>(([1]Dataset!K10-MIN([1]Dataset!$K$2:$K$31))/(MAX([1]Dataset!$K$2:$K$31)-MIN([1]Dataset!$K$2:$K$31)))*100</f>
        <v>29.411764705882355</v>
      </c>
      <c r="K10" s="12">
        <f>(([1]Dataset!L10-MIN([1]Dataset!$L$2:$L$31))/(MAX([1]Dataset!$L$2:$L$31)-MIN([1]Dataset!$L$2:$L$31)))*100</f>
        <v>50</v>
      </c>
      <c r="L10" s="11">
        <f>(([1]Dataset!M10-MIN([1]Dataset!$M$2:$M$31))/(MAX([1]Dataset!$M$2:$M$31)-MIN([1]Dataset!$M$2:$M$31)))*100</f>
        <v>17.266187050359711</v>
      </c>
      <c r="M10" s="11">
        <f>(([1]Dataset!N10-MIN([1]Dataset!$N$2:$N$31))/(MAX([1]Dataset!$N$2:$N$31)-MIN([1]Dataset!$N$2:$N$31)))*100</f>
        <v>22.222222222222221</v>
      </c>
      <c r="N10" s="11">
        <f>(([1]Dataset!O10-MIN([1]Dataset!$O$2:$O$31))/(MAX([1]Dataset!$O$2:$O$31)-MIN([1]Dataset!$O$2:$O$31)))*100</f>
        <v>17.647058823529413</v>
      </c>
    </row>
    <row r="11" spans="1:14" ht="14.4" x14ac:dyDescent="0.3">
      <c r="A11" s="3" t="s">
        <v>23</v>
      </c>
      <c r="B11" s="35">
        <f>(([1]Dataset!B11-MIN([1]Dataset!$B$2:$B$31))/(MAX([1]Dataset!$B$2:$B$31)-MIN([1]Dataset!$B$2:$B$31)))*100</f>
        <v>48.913043478260882</v>
      </c>
      <c r="C11" s="35">
        <f>(([1]Dataset!C11-MIN([1]Dataset!$C$2:$C$31))/(MAX([1]Dataset!$C$2:$C$31)-MIN([1]Dataset!$C$2:$C$31)))*100</f>
        <v>86.206896551724128</v>
      </c>
      <c r="D11" s="35">
        <f>(([1]Dataset!D11-MIN([1]Dataset!$D$2:$D$31))/(MAX([1]Dataset!$D$2:$D$31)-MIN([1]Dataset!$D$2:$D$31)))*100</f>
        <v>39.215686274509807</v>
      </c>
      <c r="E11" s="35">
        <f>(([1]Dataset!E11-MIN([1]Dataset!$E$2:$E$31))/(MAX([1]Dataset!$E$2:$E$31)-MIN([1]Dataset!$E$2:$E$31)))*100</f>
        <v>80.487804878048792</v>
      </c>
      <c r="F11" s="35">
        <f>(([1]Dataset!F11-MIN([1]Dataset!$F$2:$F$31))/(MAX([1]Dataset!$F$2:$F$31)-MIN([1]Dataset!$F$2:$F$31)))*100</f>
        <v>47.286405158516928</v>
      </c>
      <c r="G11" s="35">
        <f>(([1]Dataset!G11-MIN([1]Dataset!$G$2:$G$31))/(MAX([1]Dataset!$G$2:$G$31)-MIN([1]Dataset!$G$2:$G$31)))*100</f>
        <v>15.419501133786845</v>
      </c>
      <c r="H11" s="35">
        <f>(([1]Dataset!H11-MIN([1]Dataset!$H$2:$H$31))/(MAX([1]Dataset!$H$2:$H$31)-MIN([1]Dataset!$H$2:$H$31)))*100</f>
        <v>70.588235294117652</v>
      </c>
      <c r="I11" s="11">
        <f>(([1]Dataset!J11-MIN([1]Dataset!$J$2:$J$31))/(MAX([1]Dataset!$J$2:$J$31)-MIN([1]Dataset!$J$2:$J$31)))*100</f>
        <v>14.743589743589745</v>
      </c>
      <c r="J11" s="11">
        <f>(([1]Dataset!K11-MIN([1]Dataset!$K$2:$K$31))/(MAX([1]Dataset!$K$2:$K$31)-MIN([1]Dataset!$K$2:$K$31)))*100</f>
        <v>70.588235294117652</v>
      </c>
      <c r="K11" s="12">
        <f>(([1]Dataset!L11-MIN([1]Dataset!$L$2:$L$31))/(MAX([1]Dataset!$L$2:$L$31)-MIN([1]Dataset!$L$2:$L$31)))*100</f>
        <v>50</v>
      </c>
      <c r="L11" s="11">
        <f>(([1]Dataset!M11-MIN([1]Dataset!$M$2:$M$31))/(MAX([1]Dataset!$M$2:$M$31)-MIN([1]Dataset!$M$2:$M$31)))*100</f>
        <v>31.654676258992804</v>
      </c>
      <c r="M11" s="11">
        <f>(([1]Dataset!N11-MIN([1]Dataset!$N$2:$N$31))/(MAX([1]Dataset!$N$2:$N$31)-MIN([1]Dataset!$N$2:$N$31)))*100</f>
        <v>16.666666666666664</v>
      </c>
      <c r="N11" s="11">
        <f>(([1]Dataset!O11-MIN([1]Dataset!$O$2:$O$31))/(MAX([1]Dataset!$O$2:$O$31)-MIN([1]Dataset!$O$2:$O$31)))*100</f>
        <v>5.8823529411764701</v>
      </c>
    </row>
    <row r="12" spans="1:14" ht="14.4" x14ac:dyDescent="0.3">
      <c r="A12" s="3" t="s">
        <v>24</v>
      </c>
      <c r="B12" s="35">
        <f>(([1]Dataset!B12-MIN([1]Dataset!$B$2:$B$31))/(MAX([1]Dataset!$B$2:$B$31)-MIN([1]Dataset!$B$2:$B$31)))*100</f>
        <v>37.500000000000007</v>
      </c>
      <c r="C12" s="35">
        <f>(([1]Dataset!C12-MIN([1]Dataset!$C$2:$C$31))/(MAX([1]Dataset!$C$2:$C$31)-MIN([1]Dataset!$C$2:$C$31)))*100</f>
        <v>55.172413793103445</v>
      </c>
      <c r="D12" s="35">
        <f>(([1]Dataset!D12-MIN([1]Dataset!$D$2:$D$31))/(MAX([1]Dataset!$D$2:$D$31)-MIN([1]Dataset!$D$2:$D$31)))*100</f>
        <v>78.431372549019613</v>
      </c>
      <c r="E12" s="35">
        <f>(([1]Dataset!E12-MIN([1]Dataset!$E$2:$E$31))/(MAX([1]Dataset!$E$2:$E$31)-MIN([1]Dataset!$E$2:$E$31)))*100</f>
        <v>78.048780487804876</v>
      </c>
      <c r="F12" s="35">
        <f>(([1]Dataset!F12-MIN([1]Dataset!$F$2:$F$31))/(MAX([1]Dataset!$F$2:$F$31)-MIN([1]Dataset!$F$2:$F$31)))*100</f>
        <v>69.156367544331005</v>
      </c>
      <c r="G12" s="35">
        <f>(([1]Dataset!G12-MIN([1]Dataset!$G$2:$G$31))/(MAX([1]Dataset!$G$2:$G$31)-MIN([1]Dataset!$G$2:$G$31)))*100</f>
        <v>14.739229024943313</v>
      </c>
      <c r="H12" s="35">
        <f>(([1]Dataset!H12-MIN([1]Dataset!$H$2:$H$31))/(MAX([1]Dataset!$H$2:$H$31)-MIN([1]Dataset!$H$2:$H$31)))*100</f>
        <v>82.352941176470594</v>
      </c>
      <c r="I12" s="11">
        <f>(([1]Dataset!J12-MIN([1]Dataset!$J$2:$J$31))/(MAX([1]Dataset!$J$2:$J$31)-MIN([1]Dataset!$J$2:$J$31)))*100</f>
        <v>10.256410256410255</v>
      </c>
      <c r="J12" s="11">
        <f>(([1]Dataset!K12-MIN([1]Dataset!$K$2:$K$31))/(MAX([1]Dataset!$K$2:$K$31)-MIN([1]Dataset!$K$2:$K$31)))*100</f>
        <v>26.47058823529412</v>
      </c>
      <c r="K12" s="12">
        <f>(([1]Dataset!L12-MIN([1]Dataset!$L$2:$L$31))/(MAX([1]Dataset!$L$2:$L$31)-MIN([1]Dataset!$L$2:$L$31)))*100</f>
        <v>75</v>
      </c>
      <c r="L12" s="11">
        <f>(([1]Dataset!M12-MIN([1]Dataset!$M$2:$M$31))/(MAX([1]Dataset!$M$2:$M$31)-MIN([1]Dataset!$M$2:$M$31)))*100</f>
        <v>8.2733812949640289</v>
      </c>
      <c r="M12" s="11">
        <f>(([1]Dataset!N12-MIN([1]Dataset!$N$2:$N$31))/(MAX([1]Dataset!$N$2:$N$31)-MIN([1]Dataset!$N$2:$N$31)))*100</f>
        <v>5.5555555555555554</v>
      </c>
      <c r="N12" s="11">
        <f>(([1]Dataset!O12-MIN([1]Dataset!$O$2:$O$31))/(MAX([1]Dataset!$O$2:$O$31)-MIN([1]Dataset!$O$2:$O$31)))*100</f>
        <v>11.76470588235294</v>
      </c>
    </row>
    <row r="13" spans="1:14" ht="14.4" x14ac:dyDescent="0.3">
      <c r="A13" s="3" t="s">
        <v>25</v>
      </c>
      <c r="B13" s="35">
        <f>(([1]Dataset!B13-MIN([1]Dataset!$B$2:$B$31))/(MAX([1]Dataset!$B$2:$B$31)-MIN([1]Dataset!$B$2:$B$31)))*100</f>
        <v>21.739130434782609</v>
      </c>
      <c r="C13" s="35">
        <f>(([1]Dataset!C13-MIN([1]Dataset!$C$2:$C$31))/(MAX([1]Dataset!$C$2:$C$31)-MIN([1]Dataset!$C$2:$C$31)))*100</f>
        <v>82.758620689655174</v>
      </c>
      <c r="D13" s="35">
        <f>(([1]Dataset!D13-MIN([1]Dataset!$D$2:$D$31))/(MAX([1]Dataset!$D$2:$D$31)-MIN([1]Dataset!$D$2:$D$31)))*100</f>
        <v>19.607843137254903</v>
      </c>
      <c r="E13" s="35">
        <f>(([1]Dataset!E13-MIN([1]Dataset!$E$2:$E$31))/(MAX([1]Dataset!$E$2:$E$31)-MIN([1]Dataset!$E$2:$E$31)))*100</f>
        <v>68.292682926829272</v>
      </c>
      <c r="F13" s="35">
        <f>(([1]Dataset!F13-MIN([1]Dataset!$F$2:$F$31))/(MAX([1]Dataset!$F$2:$F$31)-MIN([1]Dataset!$F$2:$F$31)))*100</f>
        <v>25.953788285867812</v>
      </c>
      <c r="G13" s="35">
        <f>(([1]Dataset!G13-MIN([1]Dataset!$G$2:$G$31))/(MAX([1]Dataset!$G$2:$G$31)-MIN([1]Dataset!$G$2:$G$31)))*100</f>
        <v>36.961451247165535</v>
      </c>
      <c r="H13" s="35">
        <f>(([1]Dataset!H13-MIN([1]Dataset!$H$2:$H$31))/(MAX([1]Dataset!$H$2:$H$31)-MIN([1]Dataset!$H$2:$H$31)))*100</f>
        <v>70.588235294117652</v>
      </c>
      <c r="I13" s="11">
        <f>(([1]Dataset!J13-MIN([1]Dataset!$J$2:$J$31))/(MAX([1]Dataset!$J$2:$J$31)-MIN([1]Dataset!$J$2:$J$31)))*100</f>
        <v>7.0512820512820511</v>
      </c>
      <c r="J13" s="11">
        <f>(([1]Dataset!K13-MIN([1]Dataset!$K$2:$K$31))/(MAX([1]Dataset!$K$2:$K$31)-MIN([1]Dataset!$K$2:$K$31)))*100</f>
        <v>11.76470588235294</v>
      </c>
      <c r="K13" s="12">
        <f>(([1]Dataset!L13-MIN([1]Dataset!$L$2:$L$31))/(MAX([1]Dataset!$L$2:$L$31)-MIN([1]Dataset!$L$2:$L$31)))*100</f>
        <v>100</v>
      </c>
      <c r="L13" s="11">
        <f>(([1]Dataset!M13-MIN([1]Dataset!$M$2:$M$31))/(MAX([1]Dataset!$M$2:$M$31)-MIN([1]Dataset!$M$2:$M$31)))*100</f>
        <v>10.071942446043165</v>
      </c>
      <c r="M13" s="11">
        <f>(([1]Dataset!N13-MIN([1]Dataset!$N$2:$N$31))/(MAX([1]Dataset!$N$2:$N$31)-MIN([1]Dataset!$N$2:$N$31)))*100</f>
        <v>5.5555555555555554</v>
      </c>
      <c r="N13" s="11">
        <f>(([1]Dataset!O13-MIN([1]Dataset!$O$2:$O$31))/(MAX([1]Dataset!$O$2:$O$31)-MIN([1]Dataset!$O$2:$O$31)))*100</f>
        <v>5.8823529411764701</v>
      </c>
    </row>
    <row r="14" spans="1:14" ht="14.4" x14ac:dyDescent="0.3">
      <c r="A14" s="3" t="s">
        <v>26</v>
      </c>
      <c r="B14" s="35">
        <f>(([1]Dataset!B14-MIN([1]Dataset!$B$2:$B$31))/(MAX([1]Dataset!$B$2:$B$31)-MIN([1]Dataset!$B$2:$B$31)))*100</f>
        <v>19.565217391304348</v>
      </c>
      <c r="C14" s="35">
        <f>(([1]Dataset!C14-MIN([1]Dataset!$C$2:$C$31))/(MAX([1]Dataset!$C$2:$C$31)-MIN([1]Dataset!$C$2:$C$31)))*100</f>
        <v>89.65517241379311</v>
      </c>
      <c r="D14" s="35">
        <f>(([1]Dataset!D14-MIN([1]Dataset!$D$2:$D$31))/(MAX([1]Dataset!$D$2:$D$31)-MIN([1]Dataset!$D$2:$D$31)))*100</f>
        <v>58.82352941176471</v>
      </c>
      <c r="E14" s="35">
        <f>(([1]Dataset!E14-MIN([1]Dataset!$E$2:$E$31))/(MAX([1]Dataset!$E$2:$E$31)-MIN([1]Dataset!$E$2:$E$31)))*100</f>
        <v>92.682926829268297</v>
      </c>
      <c r="F14" s="35">
        <f>(([1]Dataset!F14-MIN([1]Dataset!$F$2:$F$31))/(MAX([1]Dataset!$F$2:$F$31)-MIN([1]Dataset!$F$2:$F$31)))*100</f>
        <v>25.470177324019343</v>
      </c>
      <c r="G14" s="35">
        <f>(([1]Dataset!G14-MIN([1]Dataset!$G$2:$G$31))/(MAX([1]Dataset!$G$2:$G$31)-MIN([1]Dataset!$G$2:$G$31)))*100</f>
        <v>71.428571428571445</v>
      </c>
      <c r="H14" s="35">
        <f>(([1]Dataset!H14-MIN([1]Dataset!$H$2:$H$31))/(MAX([1]Dataset!$H$2:$H$31)-MIN([1]Dataset!$H$2:$H$31)))*100</f>
        <v>100</v>
      </c>
      <c r="I14" s="11">
        <f>(([1]Dataset!J14-MIN([1]Dataset!$J$2:$J$31))/(MAX([1]Dataset!$J$2:$J$31)-MIN([1]Dataset!$J$2:$J$31)))*100</f>
        <v>16.666666666666664</v>
      </c>
      <c r="J14" s="11">
        <f>(([1]Dataset!K14-MIN([1]Dataset!$K$2:$K$31))/(MAX([1]Dataset!$K$2:$K$31)-MIN([1]Dataset!$K$2:$K$31)))*100</f>
        <v>17.647058823529413</v>
      </c>
      <c r="K14" s="12">
        <f>(([1]Dataset!L14-MIN([1]Dataset!$L$2:$L$31))/(MAX([1]Dataset!$L$2:$L$31)-MIN([1]Dataset!$L$2:$L$31)))*100</f>
        <v>25</v>
      </c>
      <c r="L14" s="11">
        <f>(([1]Dataset!M14-MIN([1]Dataset!$M$2:$M$31))/(MAX([1]Dataset!$M$2:$M$31)-MIN([1]Dataset!$M$2:$M$31)))*100</f>
        <v>6.4748201438848918</v>
      </c>
      <c r="M14" s="11">
        <f>(([1]Dataset!N14-MIN([1]Dataset!$N$2:$N$31))/(MAX([1]Dataset!$N$2:$N$31)-MIN([1]Dataset!$N$2:$N$31)))*100</f>
        <v>11.111111111111111</v>
      </c>
      <c r="N14" s="11">
        <f>(([1]Dataset!O14-MIN([1]Dataset!$O$2:$O$31))/(MAX([1]Dataset!$O$2:$O$31)-MIN([1]Dataset!$O$2:$O$31)))*100</f>
        <v>11.76470588235294</v>
      </c>
    </row>
    <row r="15" spans="1:14" ht="14.4" x14ac:dyDescent="0.3">
      <c r="A15" s="3" t="s">
        <v>27</v>
      </c>
      <c r="B15" s="35">
        <f>(([1]Dataset!B15-MIN([1]Dataset!$B$2:$B$31))/(MAX([1]Dataset!$B$2:$B$31)-MIN([1]Dataset!$B$2:$B$31)))*100</f>
        <v>7.608695652173914</v>
      </c>
      <c r="C15" s="35">
        <f>(([1]Dataset!C15-MIN([1]Dataset!$C$2:$C$31))/(MAX([1]Dataset!$C$2:$C$31)-MIN([1]Dataset!$C$2:$C$31)))*100</f>
        <v>91.034482758620683</v>
      </c>
      <c r="D15" s="35">
        <f>(([1]Dataset!D15-MIN([1]Dataset!$D$2:$D$31))/(MAX([1]Dataset!$D$2:$D$31)-MIN([1]Dataset!$D$2:$D$31)))*100</f>
        <v>52.941176470588246</v>
      </c>
      <c r="E15" s="35">
        <f>(([1]Dataset!E15-MIN([1]Dataset!$E$2:$E$31))/(MAX([1]Dataset!$E$2:$E$31)-MIN([1]Dataset!$E$2:$E$31)))*100</f>
        <v>90.731707317073173</v>
      </c>
      <c r="F15" s="35">
        <f>(([1]Dataset!F15-MIN([1]Dataset!$F$2:$F$31))/(MAX([1]Dataset!$F$2:$F$31)-MIN([1]Dataset!$F$2:$F$31)))*100</f>
        <v>31.542181622783449</v>
      </c>
      <c r="G15" s="35">
        <f>(([1]Dataset!G15-MIN([1]Dataset!$G$2:$G$31))/(MAX([1]Dataset!$G$2:$G$31)-MIN([1]Dataset!$G$2:$G$31)))*100</f>
        <v>26.757369614512466</v>
      </c>
      <c r="H15" s="35">
        <f>(([1]Dataset!H15-MIN([1]Dataset!$H$2:$H$31))/(MAX([1]Dataset!$H$2:$H$31)-MIN([1]Dataset!$H$2:$H$31)))*100</f>
        <v>70.588235294117652</v>
      </c>
      <c r="I15" s="11">
        <f>(([1]Dataset!J15-MIN([1]Dataset!$J$2:$J$31))/(MAX([1]Dataset!$J$2:$J$31)-MIN([1]Dataset!$J$2:$J$31)))*100</f>
        <v>3.8461538461538463</v>
      </c>
      <c r="J15" s="11">
        <f>(([1]Dataset!K15-MIN([1]Dataset!$K$2:$K$31))/(MAX([1]Dataset!$K$2:$K$31)-MIN([1]Dataset!$K$2:$K$31)))*100</f>
        <v>5.8823529411764701</v>
      </c>
      <c r="K15" s="12">
        <f>(([1]Dataset!L15-MIN([1]Dataset!$L$2:$L$31))/(MAX([1]Dataset!$L$2:$L$31)-MIN([1]Dataset!$L$2:$L$31)))*100</f>
        <v>25</v>
      </c>
      <c r="L15" s="11">
        <f>(([1]Dataset!M15-MIN([1]Dataset!$M$2:$M$31))/(MAX([1]Dataset!$M$2:$M$31)-MIN([1]Dataset!$M$2:$M$31)))*100</f>
        <v>4.6762589928057556</v>
      </c>
      <c r="M15" s="11">
        <f>(([1]Dataset!N15-MIN([1]Dataset!$N$2:$N$31))/(MAX([1]Dataset!$N$2:$N$31)-MIN([1]Dataset!$N$2:$N$31)))*100</f>
        <v>0</v>
      </c>
      <c r="N15" s="11">
        <f>(([1]Dataset!O15-MIN([1]Dataset!$O$2:$O$31))/(MAX([1]Dataset!$O$2:$O$31)-MIN([1]Dataset!$O$2:$O$31)))*100</f>
        <v>0</v>
      </c>
    </row>
    <row r="16" spans="1:14" ht="14.4" x14ac:dyDescent="0.3">
      <c r="A16" s="3" t="s">
        <v>28</v>
      </c>
      <c r="B16" s="35">
        <f>(([1]Dataset!B16-MIN([1]Dataset!$B$2:$B$31))/(MAX([1]Dataset!$B$2:$B$31)-MIN([1]Dataset!$B$2:$B$31)))*100</f>
        <v>15.21739130434783</v>
      </c>
      <c r="C16" s="35">
        <f>(([1]Dataset!C16-MIN([1]Dataset!$C$2:$C$31))/(MAX([1]Dataset!$C$2:$C$31)-MIN([1]Dataset!$C$2:$C$31)))*100</f>
        <v>94.827586206896555</v>
      </c>
      <c r="D16" s="35">
        <f>(([1]Dataset!D16-MIN([1]Dataset!$D$2:$D$31))/(MAX([1]Dataset!$D$2:$D$31)-MIN([1]Dataset!$D$2:$D$31)))*100</f>
        <v>17.647058823529413</v>
      </c>
      <c r="E16" s="35">
        <f>(([1]Dataset!E16-MIN([1]Dataset!$E$2:$E$31))/(MAX([1]Dataset!$E$2:$E$31)-MIN([1]Dataset!$E$2:$E$31)))*100</f>
        <v>75.853658536585371</v>
      </c>
      <c r="F16" s="35">
        <f>(([1]Dataset!F16-MIN([1]Dataset!$F$2:$F$31))/(MAX([1]Dataset!$F$2:$F$31)-MIN([1]Dataset!$F$2:$F$31)))*100</f>
        <v>51.316496507254158</v>
      </c>
      <c r="G16" s="35">
        <f>(([1]Dataset!G16-MIN([1]Dataset!$G$2:$G$31))/(MAX([1]Dataset!$G$2:$G$31)-MIN([1]Dataset!$G$2:$G$31)))*100</f>
        <v>22.222222222222218</v>
      </c>
      <c r="H16" s="35">
        <f>(([1]Dataset!H16-MIN([1]Dataset!$H$2:$H$31))/(MAX([1]Dataset!$H$2:$H$31)-MIN([1]Dataset!$H$2:$H$31)))*100</f>
        <v>82.352941176470594</v>
      </c>
      <c r="I16" s="11">
        <f>(([1]Dataset!J16-MIN([1]Dataset!$J$2:$J$31))/(MAX([1]Dataset!$J$2:$J$31)-MIN([1]Dataset!$J$2:$J$31)))*100</f>
        <v>13.461538461538462</v>
      </c>
      <c r="J16" s="11">
        <f>(([1]Dataset!K16-MIN([1]Dataset!$K$2:$K$31))/(MAX([1]Dataset!$K$2:$K$31)-MIN([1]Dataset!$K$2:$K$31)))*100</f>
        <v>11.76470588235294</v>
      </c>
      <c r="K16" s="12">
        <f>(([1]Dataset!L16-MIN([1]Dataset!$L$2:$L$31))/(MAX([1]Dataset!$L$2:$L$31)-MIN([1]Dataset!$L$2:$L$31)))*100</f>
        <v>25</v>
      </c>
      <c r="L16" s="11">
        <f>(([1]Dataset!M16-MIN([1]Dataset!$M$2:$M$31))/(MAX([1]Dataset!$M$2:$M$31)-MIN([1]Dataset!$M$2:$M$31)))*100</f>
        <v>5.755395683453238</v>
      </c>
      <c r="M16" s="11">
        <f>(([1]Dataset!N16-MIN([1]Dataset!$N$2:$N$31))/(MAX([1]Dataset!$N$2:$N$31)-MIN([1]Dataset!$N$2:$N$31)))*100</f>
        <v>5.5555555555555554</v>
      </c>
      <c r="N16" s="11">
        <f>(([1]Dataset!O16-MIN([1]Dataset!$O$2:$O$31))/(MAX([1]Dataset!$O$2:$O$31)-MIN([1]Dataset!$O$2:$O$31)))*100</f>
        <v>5.8823529411764701</v>
      </c>
    </row>
    <row r="17" spans="1:14" ht="14.4" x14ac:dyDescent="0.3">
      <c r="A17" s="3" t="s">
        <v>29</v>
      </c>
      <c r="B17" s="35">
        <f>(([1]Dataset!B17-MIN([1]Dataset!$B$2:$B$31))/(MAX([1]Dataset!$B$2:$B$31)-MIN([1]Dataset!$B$2:$B$31)))*100</f>
        <v>11.956521739130435</v>
      </c>
      <c r="C17" s="35">
        <f>(([1]Dataset!C17-MIN([1]Dataset!$C$2:$C$31))/(MAX([1]Dataset!$C$2:$C$31)-MIN([1]Dataset!$C$2:$C$31)))*100</f>
        <v>75.862068965517238</v>
      </c>
      <c r="D17" s="35">
        <f>(([1]Dataset!D17-MIN([1]Dataset!$D$2:$D$31))/(MAX([1]Dataset!$D$2:$D$31)-MIN([1]Dataset!$D$2:$D$31)))*100</f>
        <v>44.117647058823536</v>
      </c>
      <c r="E17" s="35">
        <f>(([1]Dataset!E17-MIN([1]Dataset!$E$2:$E$31))/(MAX([1]Dataset!$E$2:$E$31)-MIN([1]Dataset!$E$2:$E$31)))*100</f>
        <v>75.609756097560975</v>
      </c>
      <c r="F17" s="35">
        <f>(([1]Dataset!F17-MIN([1]Dataset!$F$2:$F$31))/(MAX([1]Dataset!$F$2:$F$31)-MIN([1]Dataset!$F$2:$F$31)))*100</f>
        <v>73.670069854916704</v>
      </c>
      <c r="G17" s="35">
        <f>(([1]Dataset!G17-MIN([1]Dataset!$G$2:$G$31))/(MAX([1]Dataset!$G$2:$G$31)-MIN([1]Dataset!$G$2:$G$31)))*100</f>
        <v>0</v>
      </c>
      <c r="H17" s="35">
        <f>(([1]Dataset!H17-MIN([1]Dataset!$H$2:$H$31))/(MAX([1]Dataset!$H$2:$H$31)-MIN([1]Dataset!$H$2:$H$31)))*100</f>
        <v>23.529411764705902</v>
      </c>
      <c r="I17" s="11">
        <f>(([1]Dataset!J17-MIN([1]Dataset!$J$2:$J$31))/(MAX([1]Dataset!$J$2:$J$31)-MIN([1]Dataset!$J$2:$J$31)))*100</f>
        <v>0.64102564102564097</v>
      </c>
      <c r="J17" s="11">
        <f>(([1]Dataset!K17-MIN([1]Dataset!$K$2:$K$31))/(MAX([1]Dataset!$K$2:$K$31)-MIN([1]Dataset!$K$2:$K$31)))*100</f>
        <v>0</v>
      </c>
      <c r="K17" s="12">
        <f>(([1]Dataset!L17-MIN([1]Dataset!$L$2:$L$31))/(MAX([1]Dataset!$L$2:$L$31)-MIN([1]Dataset!$L$2:$L$31)))*100</f>
        <v>25</v>
      </c>
      <c r="L17" s="11">
        <f>(([1]Dataset!M17-MIN([1]Dataset!$M$2:$M$31))/(MAX([1]Dataset!$M$2:$M$31)-MIN([1]Dataset!$M$2:$M$31)))*100</f>
        <v>0</v>
      </c>
      <c r="M17" s="11">
        <f>(([1]Dataset!N17-MIN([1]Dataset!$N$2:$N$31))/(MAX([1]Dataset!$N$2:$N$31)-MIN([1]Dataset!$N$2:$N$31)))*100</f>
        <v>0</v>
      </c>
      <c r="N17" s="11">
        <f>(([1]Dataset!O17-MIN([1]Dataset!$O$2:$O$31))/(MAX([1]Dataset!$O$2:$O$31)-MIN([1]Dataset!$O$2:$O$31)))*100</f>
        <v>0</v>
      </c>
    </row>
    <row r="18" spans="1:14" ht="14.4" x14ac:dyDescent="0.3">
      <c r="A18" s="3" t="s">
        <v>30</v>
      </c>
      <c r="B18" s="35">
        <f>(([1]Dataset!B18-MIN([1]Dataset!$B$2:$B$31))/(MAX([1]Dataset!$B$2:$B$31)-MIN([1]Dataset!$B$2:$B$31)))*100</f>
        <v>8.1521739130434785</v>
      </c>
      <c r="C18" s="35">
        <f>(([1]Dataset!C18-MIN([1]Dataset!$C$2:$C$31))/(MAX([1]Dataset!$C$2:$C$31)-MIN([1]Dataset!$C$2:$C$31)))*100</f>
        <v>100</v>
      </c>
      <c r="D18" s="35">
        <f>(([1]Dataset!D18-MIN([1]Dataset!$D$2:$D$31))/(MAX([1]Dataset!$D$2:$D$31)-MIN([1]Dataset!$D$2:$D$31)))*100</f>
        <v>19.607843137254903</v>
      </c>
      <c r="E18" s="35">
        <f>(([1]Dataset!E18-MIN([1]Dataset!$E$2:$E$31))/(MAX([1]Dataset!$E$2:$E$31)-MIN([1]Dataset!$E$2:$E$31)))*100</f>
        <v>80.487804878048792</v>
      </c>
      <c r="F18" s="35">
        <f>(([1]Dataset!F18-MIN([1]Dataset!$F$2:$F$31))/(MAX([1]Dataset!$F$2:$F$31)-MIN([1]Dataset!$F$2:$F$31)))*100</f>
        <v>11.982804943578723</v>
      </c>
      <c r="G18" s="35">
        <f>(([1]Dataset!G18-MIN([1]Dataset!$G$2:$G$31))/(MAX([1]Dataset!$G$2:$G$31)-MIN([1]Dataset!$G$2:$G$31)))*100</f>
        <v>62.585034013605437</v>
      </c>
      <c r="H18" s="35">
        <f>(([1]Dataset!H18-MIN([1]Dataset!$H$2:$H$31))/(MAX([1]Dataset!$H$2:$H$31)-MIN([1]Dataset!$H$2:$H$31)))*100</f>
        <v>82.352941176470594</v>
      </c>
      <c r="I18" s="11">
        <f>(([1]Dataset!J18-MIN([1]Dataset!$J$2:$J$31))/(MAX([1]Dataset!$J$2:$J$31)-MIN([1]Dataset!$J$2:$J$31)))*100</f>
        <v>12.820512820512819</v>
      </c>
      <c r="J18" s="11">
        <f>(([1]Dataset!K18-MIN([1]Dataset!$K$2:$K$31))/(MAX([1]Dataset!$K$2:$K$31)-MIN([1]Dataset!$K$2:$K$31)))*100</f>
        <v>23.52941176470588</v>
      </c>
      <c r="K18" s="12">
        <f>(([1]Dataset!L18-MIN([1]Dataset!$L$2:$L$31))/(MAX([1]Dataset!$L$2:$L$31)-MIN([1]Dataset!$L$2:$L$31)))*100</f>
        <v>50</v>
      </c>
      <c r="L18" s="11">
        <f>(([1]Dataset!M18-MIN([1]Dataset!$M$2:$M$31))/(MAX([1]Dataset!$M$2:$M$31)-MIN([1]Dataset!$M$2:$M$31)))*100</f>
        <v>11.870503597122301</v>
      </c>
      <c r="M18" s="11">
        <f>(([1]Dataset!N18-MIN([1]Dataset!$N$2:$N$31))/(MAX([1]Dataset!$N$2:$N$31)-MIN([1]Dataset!$N$2:$N$31)))*100</f>
        <v>16.666666666666664</v>
      </c>
      <c r="N18" s="11">
        <f>(([1]Dataset!O18-MIN([1]Dataset!$O$2:$O$31))/(MAX([1]Dataset!$O$2:$O$31)-MIN([1]Dataset!$O$2:$O$31)))*100</f>
        <v>17.647058823529413</v>
      </c>
    </row>
    <row r="19" spans="1:14" ht="14.4" x14ac:dyDescent="0.3">
      <c r="A19" s="3" t="s">
        <v>31</v>
      </c>
      <c r="B19" s="35">
        <f>(([1]Dataset!B19-MIN([1]Dataset!$B$2:$B$31))/(MAX([1]Dataset!$B$2:$B$31)-MIN([1]Dataset!$B$2:$B$31)))*100</f>
        <v>5.9782608695652186</v>
      </c>
      <c r="C19" s="35">
        <f>(([1]Dataset!C19-MIN([1]Dataset!$C$2:$C$31))/(MAX([1]Dataset!$C$2:$C$31)-MIN([1]Dataset!$C$2:$C$31)))*100</f>
        <v>58.275862068965509</v>
      </c>
      <c r="D19" s="35">
        <f>(([1]Dataset!D19-MIN([1]Dataset!$D$2:$D$31))/(MAX([1]Dataset!$D$2:$D$31)-MIN([1]Dataset!$D$2:$D$31)))*100</f>
        <v>83.64705882352942</v>
      </c>
      <c r="E19" s="35">
        <f>(([1]Dataset!E19-MIN([1]Dataset!$E$2:$E$31))/(MAX([1]Dataset!$E$2:$E$31)-MIN([1]Dataset!$E$2:$E$31)))*100</f>
        <v>82.839024390243893</v>
      </c>
      <c r="F19" s="35">
        <f>(([1]Dataset!F19-MIN([1]Dataset!$F$2:$F$31))/(MAX([1]Dataset!$F$2:$F$31)-MIN([1]Dataset!$F$2:$F$31)))*100</f>
        <v>88.876947877485222</v>
      </c>
      <c r="G19" s="35">
        <f>(([1]Dataset!G19-MIN([1]Dataset!$G$2:$G$31))/(MAX([1]Dataset!$G$2:$G$31)-MIN([1]Dataset!$G$2:$G$31)))*100</f>
        <v>8.0498866213151867</v>
      </c>
      <c r="H19" s="35">
        <f>(([1]Dataset!H19-MIN([1]Dataset!$H$2:$H$31))/(MAX([1]Dataset!$H$2:$H$31)-MIN([1]Dataset!$H$2:$H$31)))*100</f>
        <v>35.294117647058826</v>
      </c>
      <c r="I19" s="11">
        <f>(([1]Dataset!J19-MIN([1]Dataset!$J$2:$J$31))/(MAX([1]Dataset!$J$2:$J$31)-MIN([1]Dataset!$J$2:$J$31)))*100</f>
        <v>3.8461538461538463</v>
      </c>
      <c r="J19" s="11">
        <f>(([1]Dataset!K19-MIN([1]Dataset!$K$2:$K$31))/(MAX([1]Dataset!$K$2:$K$31)-MIN([1]Dataset!$K$2:$K$31)))*100</f>
        <v>5.8823529411764701</v>
      </c>
      <c r="K19" s="12">
        <f>(([1]Dataset!L19-MIN([1]Dataset!$L$2:$L$31))/(MAX([1]Dataset!$L$2:$L$31)-MIN([1]Dataset!$L$2:$L$31)))*100</f>
        <v>25</v>
      </c>
      <c r="L19" s="11">
        <f>(([1]Dataset!M19-MIN([1]Dataset!$M$2:$M$31))/(MAX([1]Dataset!$M$2:$M$31)-MIN([1]Dataset!$M$2:$M$31)))*100</f>
        <v>2.877697841726619</v>
      </c>
      <c r="M19" s="11">
        <f>(([1]Dataset!N19-MIN([1]Dataset!$N$2:$N$31))/(MAX([1]Dataset!$N$2:$N$31)-MIN([1]Dataset!$N$2:$N$31)))*100</f>
        <v>2.7777777777777777</v>
      </c>
      <c r="N19" s="11">
        <f>(([1]Dataset!O19-MIN([1]Dataset!$O$2:$O$31))/(MAX([1]Dataset!$O$2:$O$31)-MIN([1]Dataset!$O$2:$O$31)))*100</f>
        <v>5.8823529411764701</v>
      </c>
    </row>
    <row r="20" spans="1:14" ht="14.4" x14ac:dyDescent="0.3">
      <c r="A20" s="3" t="s">
        <v>32</v>
      </c>
      <c r="B20" s="35">
        <f>(([1]Dataset!B20-MIN([1]Dataset!$B$2:$B$31))/(MAX([1]Dataset!$B$2:$B$31)-MIN([1]Dataset!$B$2:$B$31)))*100</f>
        <v>7.0652173913043503</v>
      </c>
      <c r="C20" s="35">
        <f>(([1]Dataset!C20-MIN([1]Dataset!$C$2:$C$31))/(MAX([1]Dataset!$C$2:$C$31)-MIN([1]Dataset!$C$2:$C$31)))*100</f>
        <v>40</v>
      </c>
      <c r="D20" s="35">
        <f>(([1]Dataset!D20-MIN([1]Dataset!$D$2:$D$31))/(MAX([1]Dataset!$D$2:$D$31)-MIN([1]Dataset!$D$2:$D$31)))*100</f>
        <v>100</v>
      </c>
      <c r="E20" s="35">
        <f>(([1]Dataset!E20-MIN([1]Dataset!$E$2:$E$31))/(MAX([1]Dataset!$E$2:$E$31)-MIN([1]Dataset!$E$2:$E$31)))*100</f>
        <v>78.048780487804876</v>
      </c>
      <c r="F20" s="35">
        <f>(([1]Dataset!F20-MIN([1]Dataset!$F$2:$F$31))/(MAX([1]Dataset!$F$2:$F$31)-MIN([1]Dataset!$F$2:$F$31)))*100</f>
        <v>31.38097796883396</v>
      </c>
      <c r="G20" s="35">
        <f>(([1]Dataset!G20-MIN([1]Dataset!$G$2:$G$31))/(MAX([1]Dataset!$G$2:$G$31)-MIN([1]Dataset!$G$2:$G$31)))*100</f>
        <v>44.557823129251688</v>
      </c>
      <c r="H20" s="35">
        <f>(([1]Dataset!H20-MIN([1]Dataset!$H$2:$H$31))/(MAX([1]Dataset!$H$2:$H$31)-MIN([1]Dataset!$H$2:$H$31)))*100</f>
        <v>88.235294117647044</v>
      </c>
      <c r="I20" s="11">
        <f>(([1]Dataset!J20-MIN([1]Dataset!$J$2:$J$31))/(MAX([1]Dataset!$J$2:$J$31)-MIN([1]Dataset!$J$2:$J$31)))*100</f>
        <v>7.0512820512820511</v>
      </c>
      <c r="J20" s="11">
        <f>(([1]Dataset!K20-MIN([1]Dataset!$K$2:$K$31))/(MAX([1]Dataset!$K$2:$K$31)-MIN([1]Dataset!$K$2:$K$31)))*100</f>
        <v>11.76470588235294</v>
      </c>
      <c r="K20" s="12">
        <f>(([1]Dataset!L20-MIN([1]Dataset!$L$2:$L$31))/(MAX([1]Dataset!$L$2:$L$31)-MIN([1]Dataset!$L$2:$L$31)))*100</f>
        <v>50</v>
      </c>
      <c r="L20" s="11">
        <f>(([1]Dataset!M20-MIN([1]Dataset!$M$2:$M$31))/(MAX([1]Dataset!$M$2:$M$31)-MIN([1]Dataset!$M$2:$M$31)))*100</f>
        <v>4.6762589928057556</v>
      </c>
      <c r="M20" s="11">
        <f>(([1]Dataset!N20-MIN([1]Dataset!$N$2:$N$31))/(MAX([1]Dataset!$N$2:$N$31)-MIN([1]Dataset!$N$2:$N$31)))*100</f>
        <v>5.5555555555555554</v>
      </c>
      <c r="N20" s="11">
        <f>(([1]Dataset!O20-MIN([1]Dataset!$O$2:$O$31))/(MAX([1]Dataset!$O$2:$O$31)-MIN([1]Dataset!$O$2:$O$31)))*100</f>
        <v>11.76470588235294</v>
      </c>
    </row>
    <row r="21" spans="1:14" ht="14.4" x14ac:dyDescent="0.3">
      <c r="A21" s="3" t="s">
        <v>33</v>
      </c>
      <c r="B21" s="35">
        <f>(([1]Dataset!B21-MIN([1]Dataset!$B$2:$B$31))/(MAX([1]Dataset!$B$2:$B$31)-MIN([1]Dataset!$B$2:$B$31)))*100</f>
        <v>13.043478260869568</v>
      </c>
      <c r="C21" s="35">
        <f>(([1]Dataset!C21-MIN([1]Dataset!$C$2:$C$31))/(MAX([1]Dataset!$C$2:$C$31)-MIN([1]Dataset!$C$2:$C$31)))*100</f>
        <v>82.758620689655174</v>
      </c>
      <c r="D21" s="35">
        <f>(([1]Dataset!D21-MIN([1]Dataset!$D$2:$D$31))/(MAX([1]Dataset!$D$2:$D$31)-MIN([1]Dataset!$D$2:$D$31)))*100</f>
        <v>29.411764705882355</v>
      </c>
      <c r="E21" s="35">
        <f>(([1]Dataset!E21-MIN([1]Dataset!$E$2:$E$31))/(MAX([1]Dataset!$E$2:$E$31)-MIN([1]Dataset!$E$2:$E$31)))*100</f>
        <v>73.170731707317074</v>
      </c>
      <c r="F21" s="35">
        <f>(([1]Dataset!F21-MIN([1]Dataset!$F$2:$F$31))/(MAX([1]Dataset!$F$2:$F$31)-MIN([1]Dataset!$F$2:$F$31)))*100</f>
        <v>15.153143471252015</v>
      </c>
      <c r="G21" s="35">
        <f>(([1]Dataset!G21-MIN([1]Dataset!$G$2:$G$31))/(MAX([1]Dataset!$G$2:$G$31)-MIN([1]Dataset!$G$2:$G$31)))*100</f>
        <v>12.698412698412687</v>
      </c>
      <c r="H21" s="35">
        <f>(([1]Dataset!H21-MIN([1]Dataset!$H$2:$H$31))/(MAX([1]Dataset!$H$2:$H$31)-MIN([1]Dataset!$H$2:$H$31)))*100</f>
        <v>70.588235294117652</v>
      </c>
      <c r="I21" s="11">
        <f>(([1]Dataset!J21-MIN([1]Dataset!$J$2:$J$31))/(MAX([1]Dataset!$J$2:$J$31)-MIN([1]Dataset!$J$2:$J$31)))*100</f>
        <v>3.8461538461538463</v>
      </c>
      <c r="J21" s="11">
        <f>(([1]Dataset!K21-MIN([1]Dataset!$K$2:$K$31))/(MAX([1]Dataset!$K$2:$K$31)-MIN([1]Dataset!$K$2:$K$31)))*100</f>
        <v>5.8823529411764701</v>
      </c>
      <c r="K21" s="12">
        <f>(([1]Dataset!L21-MIN([1]Dataset!$L$2:$L$31))/(MAX([1]Dataset!$L$2:$L$31)-MIN([1]Dataset!$L$2:$L$31)))*100</f>
        <v>25</v>
      </c>
      <c r="L21" s="11">
        <f>(([1]Dataset!M21-MIN([1]Dataset!$M$2:$M$31))/(MAX([1]Dataset!$M$2:$M$31)-MIN([1]Dataset!$M$2:$M$31)))*100</f>
        <v>2.877697841726619</v>
      </c>
      <c r="M21" s="11">
        <f>(([1]Dataset!N21-MIN([1]Dataset!$N$2:$N$31))/(MAX([1]Dataset!$N$2:$N$31)-MIN([1]Dataset!$N$2:$N$31)))*100</f>
        <v>0</v>
      </c>
      <c r="N21" s="11">
        <f>(([1]Dataset!O21-MIN([1]Dataset!$O$2:$O$31))/(MAX([1]Dataset!$O$2:$O$31)-MIN([1]Dataset!$O$2:$O$31)))*100</f>
        <v>0</v>
      </c>
    </row>
    <row r="22" spans="1:14" ht="14.4" x14ac:dyDescent="0.3">
      <c r="A22" s="3" t="s">
        <v>34</v>
      </c>
      <c r="B22" s="35">
        <f>(([1]Dataset!B22-MIN([1]Dataset!$B$2:$B$31))/(MAX([1]Dataset!$B$2:$B$31)-MIN([1]Dataset!$B$2:$B$31)))*100</f>
        <v>8.6956521739130448</v>
      </c>
      <c r="C22" s="35">
        <f>(([1]Dataset!C22-MIN([1]Dataset!$C$2:$C$31))/(MAX([1]Dataset!$C$2:$C$31)-MIN([1]Dataset!$C$2:$C$31)))*100</f>
        <v>82.758620689655174</v>
      </c>
      <c r="D22" s="35">
        <f>(([1]Dataset!D22-MIN([1]Dataset!$D$2:$D$31))/(MAX([1]Dataset!$D$2:$D$31)-MIN([1]Dataset!$D$2:$D$31)))*100</f>
        <v>19.607843137254903</v>
      </c>
      <c r="E22" s="35">
        <f>(([1]Dataset!E22-MIN([1]Dataset!$E$2:$E$31))/(MAX([1]Dataset!$E$2:$E$31)-MIN([1]Dataset!$E$2:$E$31)))*100</f>
        <v>68.292682926829272</v>
      </c>
      <c r="F22" s="35">
        <f>(([1]Dataset!F22-MIN([1]Dataset!$F$2:$F$31))/(MAX([1]Dataset!$F$2:$F$31)-MIN([1]Dataset!$F$2:$F$31)))*100</f>
        <v>24.932831810854381</v>
      </c>
      <c r="G22" s="35">
        <f>(([1]Dataset!G22-MIN([1]Dataset!$G$2:$G$31))/(MAX([1]Dataset!$G$2:$G$31)-MIN([1]Dataset!$G$2:$G$31)))*100</f>
        <v>2.9478458049886558</v>
      </c>
      <c r="H22" s="35">
        <f>(([1]Dataset!H22-MIN([1]Dataset!$H$2:$H$31))/(MAX([1]Dataset!$H$2:$H$31)-MIN([1]Dataset!$H$2:$H$31)))*100</f>
        <v>47.058823529411775</v>
      </c>
      <c r="I22" s="11">
        <f>(([1]Dataset!J22-MIN([1]Dataset!$J$2:$J$31))/(MAX([1]Dataset!$J$2:$J$31)-MIN([1]Dataset!$J$2:$J$31)))*100</f>
        <v>1.6025641025641024</v>
      </c>
      <c r="J22" s="11">
        <f>(([1]Dataset!K22-MIN([1]Dataset!$K$2:$K$31))/(MAX([1]Dataset!$K$2:$K$31)-MIN([1]Dataset!$K$2:$K$31)))*100</f>
        <v>2.9411764705882351</v>
      </c>
      <c r="K22" s="12">
        <f>(([1]Dataset!L22-MIN([1]Dataset!$L$2:$L$31))/(MAX([1]Dataset!$L$2:$L$31)-MIN([1]Dataset!$L$2:$L$31)))*100</f>
        <v>25</v>
      </c>
      <c r="L22" s="11">
        <f>(([1]Dataset!M22-MIN([1]Dataset!$M$2:$M$31))/(MAX([1]Dataset!$M$2:$M$31)-MIN([1]Dataset!$M$2:$M$31)))*100</f>
        <v>1.079136690647482</v>
      </c>
      <c r="M22" s="11">
        <f>(([1]Dataset!N22-MIN([1]Dataset!$N$2:$N$31))/(MAX([1]Dataset!$N$2:$N$31)-MIN([1]Dataset!$N$2:$N$31)))*100</f>
        <v>0</v>
      </c>
      <c r="N22" s="11">
        <f>(([1]Dataset!O22-MIN([1]Dataset!$O$2:$O$31))/(MAX([1]Dataset!$O$2:$O$31)-MIN([1]Dataset!$O$2:$O$31)))*100</f>
        <v>0</v>
      </c>
    </row>
    <row r="23" spans="1:14" ht="14.4" x14ac:dyDescent="0.3">
      <c r="A23" s="3" t="s">
        <v>35</v>
      </c>
      <c r="B23" s="35">
        <f>(([1]Dataset!B23-MIN([1]Dataset!$B$2:$B$31))/(MAX([1]Dataset!$B$2:$B$31)-MIN([1]Dataset!$B$2:$B$31)))*100</f>
        <v>9.2391304347826093</v>
      </c>
      <c r="C23" s="35">
        <f>(([1]Dataset!C23-MIN([1]Dataset!$C$2:$C$31))/(MAX([1]Dataset!$C$2:$C$31)-MIN([1]Dataset!$C$2:$C$31)))*100</f>
        <v>0</v>
      </c>
      <c r="D23" s="35">
        <f>(([1]Dataset!D23-MIN([1]Dataset!$D$2:$D$31))/(MAX([1]Dataset!$D$2:$D$31)-MIN([1]Dataset!$D$2:$D$31)))*100</f>
        <v>0</v>
      </c>
      <c r="E23" s="35">
        <f>(([1]Dataset!E23-MIN([1]Dataset!$E$2:$E$31))/(MAX([1]Dataset!$E$2:$E$31)-MIN([1]Dataset!$E$2:$E$31)))*100</f>
        <v>0</v>
      </c>
      <c r="F23" s="35">
        <f>(([1]Dataset!F23-MIN([1]Dataset!$F$2:$F$31))/(MAX([1]Dataset!$F$2:$F$31)-MIN([1]Dataset!$F$2:$F$31)))*100</f>
        <v>20.204191295002687</v>
      </c>
      <c r="G23" s="35">
        <f>(([1]Dataset!G23-MIN([1]Dataset!$G$2:$G$31))/(MAX([1]Dataset!$G$2:$G$31)-MIN([1]Dataset!$G$2:$G$31)))*100</f>
        <v>40.929705215419496</v>
      </c>
      <c r="H23" s="35">
        <f>(([1]Dataset!H23-MIN([1]Dataset!$H$2:$H$31))/(MAX([1]Dataset!$H$2:$H$31)-MIN([1]Dataset!$H$2:$H$31)))*100</f>
        <v>82.352941176470594</v>
      </c>
      <c r="I23" s="11">
        <f>(([1]Dataset!J23-MIN([1]Dataset!$J$2:$J$31))/(MAX([1]Dataset!$J$2:$J$31)-MIN([1]Dataset!$J$2:$J$31)))*100</f>
        <v>8.6538461538461533</v>
      </c>
      <c r="J23" s="11">
        <f>(([1]Dataset!K23-MIN([1]Dataset!$K$2:$K$31))/(MAX([1]Dataset!$K$2:$K$31)-MIN([1]Dataset!$K$2:$K$31)))*100</f>
        <v>11.76470588235294</v>
      </c>
      <c r="K23" s="12">
        <f>(([1]Dataset!L23-MIN([1]Dataset!$L$2:$L$31))/(MAX([1]Dataset!$L$2:$L$31)-MIN([1]Dataset!$L$2:$L$31)))*100</f>
        <v>50</v>
      </c>
      <c r="L23" s="11">
        <f>(([1]Dataset!M23-MIN([1]Dataset!$M$2:$M$31))/(MAX([1]Dataset!$M$2:$M$31)-MIN([1]Dataset!$M$2:$M$31)))*100</f>
        <v>5.755395683453238</v>
      </c>
      <c r="M23" s="11">
        <f>(([1]Dataset!N23-MIN([1]Dataset!$N$2:$N$31))/(MAX([1]Dataset!$N$2:$N$31)-MIN([1]Dataset!$N$2:$N$31)))*100</f>
        <v>5.5555555555555554</v>
      </c>
      <c r="N23" s="11">
        <f>(([1]Dataset!O23-MIN([1]Dataset!$O$2:$O$31))/(MAX([1]Dataset!$O$2:$O$31)-MIN([1]Dataset!$O$2:$O$31)))*100</f>
        <v>5.8823529411764701</v>
      </c>
    </row>
    <row r="24" spans="1:14" ht="14.4" x14ac:dyDescent="0.3">
      <c r="A24" s="3" t="s">
        <v>36</v>
      </c>
      <c r="B24" s="35">
        <f>(([1]Dataset!B24-MIN([1]Dataset!$B$2:$B$31))/(MAX([1]Dataset!$B$2:$B$31)-MIN([1]Dataset!$B$2:$B$31)))*100</f>
        <v>10.326086956521742</v>
      </c>
      <c r="C24" s="35">
        <f>(([1]Dataset!C24-MIN([1]Dataset!$C$2:$C$31))/(MAX([1]Dataset!$C$2:$C$31)-MIN([1]Dataset!$C$2:$C$31)))*100</f>
        <v>79.310344827586206</v>
      </c>
      <c r="D24" s="35">
        <f>(([1]Dataset!D24-MIN([1]Dataset!$D$2:$D$31))/(MAX([1]Dataset!$D$2:$D$31)-MIN([1]Dataset!$D$2:$D$31)))*100</f>
        <v>19.607843137254903</v>
      </c>
      <c r="E24" s="35">
        <f>(([1]Dataset!E24-MIN([1]Dataset!$E$2:$E$31))/(MAX([1]Dataset!$E$2:$E$31)-MIN([1]Dataset!$E$2:$E$31)))*100</f>
        <v>65.853658536585371</v>
      </c>
      <c r="F24" s="35">
        <f>(([1]Dataset!F24-MIN([1]Dataset!$F$2:$F$31))/(MAX([1]Dataset!$F$2:$F$31)-MIN([1]Dataset!$F$2:$F$31)))*100</f>
        <v>40.354648038688879</v>
      </c>
      <c r="G24" s="35">
        <f>(([1]Dataset!G24-MIN([1]Dataset!$G$2:$G$31))/(MAX([1]Dataset!$G$2:$G$31)-MIN([1]Dataset!$G$2:$G$31)))*100</f>
        <v>0.34013605442176553</v>
      </c>
      <c r="H24" s="35">
        <f>(([1]Dataset!H24-MIN([1]Dataset!$H$2:$H$31))/(MAX([1]Dataset!$H$2:$H$31)-MIN([1]Dataset!$H$2:$H$31)))*100</f>
        <v>52.941176470588246</v>
      </c>
      <c r="I24" s="11">
        <f>(([1]Dataset!J24-MIN([1]Dataset!$J$2:$J$31))/(MAX([1]Dataset!$J$2:$J$31)-MIN([1]Dataset!$J$2:$J$31)))*100</f>
        <v>0.64102564102564097</v>
      </c>
      <c r="J24" s="11">
        <f>(([1]Dataset!K24-MIN([1]Dataset!$K$2:$K$31))/(MAX([1]Dataset!$K$2:$K$31)-MIN([1]Dataset!$K$2:$K$31)))*100</f>
        <v>0</v>
      </c>
      <c r="K24" s="12">
        <f>(([1]Dataset!L24-MIN([1]Dataset!$L$2:$L$31))/(MAX([1]Dataset!$L$2:$L$31)-MIN([1]Dataset!$L$2:$L$31)))*100</f>
        <v>25</v>
      </c>
      <c r="L24" s="11">
        <f>(([1]Dataset!M24-MIN([1]Dataset!$M$2:$M$31))/(MAX([1]Dataset!$M$2:$M$31)-MIN([1]Dataset!$M$2:$M$31)))*100</f>
        <v>0</v>
      </c>
      <c r="M24" s="11">
        <f>(([1]Dataset!N24-MIN([1]Dataset!$N$2:$N$31))/(MAX([1]Dataset!$N$2:$N$31)-MIN([1]Dataset!$N$2:$N$31)))*100</f>
        <v>0</v>
      </c>
      <c r="N24" s="11">
        <f>(([1]Dataset!O24-MIN([1]Dataset!$O$2:$O$31))/(MAX([1]Dataset!$O$2:$O$31)-MIN([1]Dataset!$O$2:$O$31)))*100</f>
        <v>0</v>
      </c>
    </row>
    <row r="25" spans="1:14" ht="14.4" x14ac:dyDescent="0.3">
      <c r="A25" s="3" t="s">
        <v>37</v>
      </c>
      <c r="B25" s="35">
        <f>(([1]Dataset!B25-MIN([1]Dataset!$B$2:$B$31))/(MAX([1]Dataset!$B$2:$B$31)-MIN([1]Dataset!$B$2:$B$31)))*100</f>
        <v>40.217391304347828</v>
      </c>
      <c r="C25" s="35">
        <f>(([1]Dataset!C25-MIN([1]Dataset!$C$2:$C$31))/(MAX([1]Dataset!$C$2:$C$31)-MIN([1]Dataset!$C$2:$C$31)))*100</f>
        <v>100</v>
      </c>
      <c r="D25" s="35">
        <f>(([1]Dataset!D25-MIN([1]Dataset!$D$2:$D$31))/(MAX([1]Dataset!$D$2:$D$31)-MIN([1]Dataset!$D$2:$D$31)))*100</f>
        <v>19.607843137254903</v>
      </c>
      <c r="E25" s="35">
        <f>(([1]Dataset!E25-MIN([1]Dataset!$E$2:$E$31))/(MAX([1]Dataset!$E$2:$E$31)-MIN([1]Dataset!$E$2:$E$31)))*100</f>
        <v>80.487804878048792</v>
      </c>
      <c r="F25" s="35">
        <f>(([1]Dataset!F25-MIN([1]Dataset!$F$2:$F$31))/(MAX([1]Dataset!$F$2:$F$31)-MIN([1]Dataset!$F$2:$F$31)))*100</f>
        <v>30.413756045137024</v>
      </c>
      <c r="G25" s="35">
        <f>(([1]Dataset!G25-MIN([1]Dataset!$G$2:$G$31))/(MAX([1]Dataset!$G$2:$G$31)-MIN([1]Dataset!$G$2:$G$31)))*100</f>
        <v>32.993197278911559</v>
      </c>
      <c r="H25" s="35">
        <f>(([1]Dataset!H25-MIN([1]Dataset!$H$2:$H$31))/(MAX([1]Dataset!$H$2:$H$31)-MIN([1]Dataset!$H$2:$H$31)))*100</f>
        <v>64.705882352941174</v>
      </c>
      <c r="I25" s="11">
        <f>(([1]Dataset!J25-MIN([1]Dataset!$J$2:$J$31))/(MAX([1]Dataset!$J$2:$J$31)-MIN([1]Dataset!$J$2:$J$31)))*100</f>
        <v>5.1282051282051277</v>
      </c>
      <c r="J25" s="11">
        <f>(([1]Dataset!K25-MIN([1]Dataset!$K$2:$K$31))/(MAX([1]Dataset!$K$2:$K$31)-MIN([1]Dataset!$K$2:$K$31)))*100</f>
        <v>5.8823529411764701</v>
      </c>
      <c r="K25" s="12">
        <f>(([1]Dataset!L25-MIN([1]Dataset!$L$2:$L$31))/(MAX([1]Dataset!$L$2:$L$31)-MIN([1]Dataset!$L$2:$L$31)))*100</f>
        <v>0</v>
      </c>
      <c r="L25" s="11">
        <f>(([1]Dataset!M25-MIN([1]Dataset!$M$2:$M$31))/(MAX([1]Dataset!$M$2:$M$31)-MIN([1]Dataset!$M$2:$M$31)))*100</f>
        <v>2.877697841726619</v>
      </c>
      <c r="M25" s="11">
        <f>(([1]Dataset!N25-MIN([1]Dataset!$N$2:$N$31))/(MAX([1]Dataset!$N$2:$N$31)-MIN([1]Dataset!$N$2:$N$31)))*100</f>
        <v>0</v>
      </c>
      <c r="N25" s="11">
        <f>(([1]Dataset!O25-MIN([1]Dataset!$O$2:$O$31))/(MAX([1]Dataset!$O$2:$O$31)-MIN([1]Dataset!$O$2:$O$31)))*100</f>
        <v>0</v>
      </c>
    </row>
    <row r="26" spans="1:14" ht="14.4" x14ac:dyDescent="0.3">
      <c r="A26" s="3" t="s">
        <v>38</v>
      </c>
      <c r="B26" s="35">
        <f>(([1]Dataset!B26-MIN([1]Dataset!$B$2:$B$31))/(MAX([1]Dataset!$B$2:$B$31)-MIN([1]Dataset!$B$2:$B$31)))*100</f>
        <v>7.0652173913043503</v>
      </c>
      <c r="C26" s="35">
        <f>(([1]Dataset!C26-MIN([1]Dataset!$C$2:$C$31))/(MAX([1]Dataset!$C$2:$C$31)-MIN([1]Dataset!$C$2:$C$31)))*100</f>
        <v>58.275862068965509</v>
      </c>
      <c r="D26" s="35">
        <f>(([1]Dataset!D26-MIN([1]Dataset!$D$2:$D$31))/(MAX([1]Dataset!$D$2:$D$31)-MIN([1]Dataset!$D$2:$D$31)))*100</f>
        <v>71.078431372549019</v>
      </c>
      <c r="E26" s="35">
        <f>(([1]Dataset!E26-MIN([1]Dataset!$E$2:$E$31))/(MAX([1]Dataset!$E$2:$E$31)-MIN([1]Dataset!$E$2:$E$31)))*100</f>
        <v>76.585365853658544</v>
      </c>
      <c r="F26" s="35">
        <f>(([1]Dataset!F26-MIN([1]Dataset!$F$2:$F$31))/(MAX([1]Dataset!$F$2:$F$31)-MIN([1]Dataset!$F$2:$F$31)))*100</f>
        <v>77.592692101020958</v>
      </c>
      <c r="G26" s="35">
        <f>(([1]Dataset!G26-MIN([1]Dataset!$G$2:$G$31))/(MAX([1]Dataset!$G$2:$G$31)-MIN([1]Dataset!$G$2:$G$31)))*100</f>
        <v>6.1224489795918275</v>
      </c>
      <c r="H26" s="35">
        <f>(([1]Dataset!H26-MIN([1]Dataset!$H$2:$H$31))/(MAX([1]Dataset!$H$2:$H$31)-MIN([1]Dataset!$H$2:$H$31)))*100</f>
        <v>58.823529411764696</v>
      </c>
      <c r="I26" s="11">
        <f>(([1]Dataset!J26-MIN([1]Dataset!$J$2:$J$31))/(MAX([1]Dataset!$J$2:$J$31)-MIN([1]Dataset!$J$2:$J$31)))*100</f>
        <v>5.1282051282051277</v>
      </c>
      <c r="J26" s="11">
        <f>(([1]Dataset!K26-MIN([1]Dataset!$K$2:$K$31))/(MAX([1]Dataset!$K$2:$K$31)-MIN([1]Dataset!$K$2:$K$31)))*100</f>
        <v>5.8823529411764701</v>
      </c>
      <c r="K26" s="12">
        <f>(([1]Dataset!L26-MIN([1]Dataset!$L$2:$L$31))/(MAX([1]Dataset!$L$2:$L$31)-MIN([1]Dataset!$L$2:$L$31)))*100</f>
        <v>25</v>
      </c>
      <c r="L26" s="11">
        <f>(([1]Dataset!M26-MIN([1]Dataset!$M$2:$M$31))/(MAX([1]Dataset!$M$2:$M$31)-MIN([1]Dataset!$M$2:$M$31)))*100</f>
        <v>2.877697841726619</v>
      </c>
      <c r="M26" s="11">
        <f>(([1]Dataset!N26-MIN([1]Dataset!$N$2:$N$31))/(MAX([1]Dataset!$N$2:$N$31)-MIN([1]Dataset!$N$2:$N$31)))*100</f>
        <v>2.7777777777777777</v>
      </c>
      <c r="N26" s="11">
        <f>(([1]Dataset!O26-MIN([1]Dataset!$O$2:$O$31))/(MAX([1]Dataset!$O$2:$O$31)-MIN([1]Dataset!$O$2:$O$31)))*100</f>
        <v>5.8823529411764701</v>
      </c>
    </row>
    <row r="27" spans="1:14" ht="14.4" x14ac:dyDescent="0.3">
      <c r="A27" s="3" t="s">
        <v>39</v>
      </c>
      <c r="B27" s="35">
        <f>(([1]Dataset!B27-MIN([1]Dataset!$B$2:$B$31))/(MAX([1]Dataset!$B$2:$B$31)-MIN([1]Dataset!$B$2:$B$31)))*100</f>
        <v>11.413043478260871</v>
      </c>
      <c r="C27" s="35">
        <f>(([1]Dataset!C27-MIN([1]Dataset!$C$2:$C$31))/(MAX([1]Dataset!$C$2:$C$31)-MIN([1]Dataset!$C$2:$C$31)))*100</f>
        <v>68.965517241379317</v>
      </c>
      <c r="D27" s="35">
        <f>(([1]Dataset!D27-MIN([1]Dataset!$D$2:$D$31))/(MAX([1]Dataset!$D$2:$D$31)-MIN([1]Dataset!$D$2:$D$31)))*100</f>
        <v>9.8039215686274517</v>
      </c>
      <c r="E27" s="35">
        <f>(([1]Dataset!E27-MIN([1]Dataset!$E$2:$E$31))/(MAX([1]Dataset!$E$2:$E$31)-MIN([1]Dataset!$E$2:$E$31)))*100</f>
        <v>53.658536585365859</v>
      </c>
      <c r="F27" s="35">
        <f>(([1]Dataset!F27-MIN([1]Dataset!$F$2:$F$31))/(MAX([1]Dataset!$F$2:$F$31)-MIN([1]Dataset!$F$2:$F$31)))*100</f>
        <v>63.72917786136486</v>
      </c>
      <c r="G27" s="35">
        <f>(([1]Dataset!G27-MIN([1]Dataset!$G$2:$G$31))/(MAX([1]Dataset!$G$2:$G$31)-MIN([1]Dataset!$G$2:$G$31)))*100</f>
        <v>2.9478458049886558</v>
      </c>
      <c r="H27" s="35">
        <f>(([1]Dataset!H27-MIN([1]Dataset!$H$2:$H$31))/(MAX([1]Dataset!$H$2:$H$31)-MIN([1]Dataset!$H$2:$H$31)))*100</f>
        <v>41.176470588235297</v>
      </c>
      <c r="I27" s="11">
        <f>(([1]Dataset!J27-MIN([1]Dataset!$J$2:$J$31))/(MAX([1]Dataset!$J$2:$J$31)-MIN([1]Dataset!$J$2:$J$31)))*100</f>
        <v>0</v>
      </c>
      <c r="J27" s="11">
        <f>(([1]Dataset!K27-MIN([1]Dataset!$K$2:$K$31))/(MAX([1]Dataset!$K$2:$K$31)-MIN([1]Dataset!$K$2:$K$31)))*100</f>
        <v>0</v>
      </c>
      <c r="K27" s="12">
        <f>(([1]Dataset!L27-MIN([1]Dataset!$L$2:$L$31))/(MAX([1]Dataset!$L$2:$L$31)-MIN([1]Dataset!$L$2:$L$31)))*100</f>
        <v>25</v>
      </c>
      <c r="L27" s="11">
        <f>(([1]Dataset!M27-MIN([1]Dataset!$M$2:$M$31))/(MAX([1]Dataset!$M$2:$M$31)-MIN([1]Dataset!$M$2:$M$31)))*100</f>
        <v>0</v>
      </c>
      <c r="M27" s="11">
        <f>(([1]Dataset!N27-MIN([1]Dataset!$N$2:$N$31))/(MAX([1]Dataset!$N$2:$N$31)-MIN([1]Dataset!$N$2:$N$31)))*100</f>
        <v>0</v>
      </c>
      <c r="N27" s="11">
        <f>(([1]Dataset!O27-MIN([1]Dataset!$O$2:$O$31))/(MAX([1]Dataset!$O$2:$O$31)-MIN([1]Dataset!$O$2:$O$31)))*100</f>
        <v>0</v>
      </c>
    </row>
    <row r="28" spans="1:14" ht="14.4" x14ac:dyDescent="0.3">
      <c r="A28" s="3" t="s">
        <v>40</v>
      </c>
      <c r="B28" s="35">
        <f>(([1]Dataset!B28-MIN([1]Dataset!$B$2:$B$31))/(MAX([1]Dataset!$B$2:$B$31)-MIN([1]Dataset!$B$2:$B$31)))*100</f>
        <v>31.521739130434788</v>
      </c>
      <c r="C28" s="35">
        <f>(([1]Dataset!C28-MIN([1]Dataset!$C$2:$C$31))/(MAX([1]Dataset!$C$2:$C$31)-MIN([1]Dataset!$C$2:$C$31)))*100</f>
        <v>82.758620689655174</v>
      </c>
      <c r="D28" s="35">
        <f>(([1]Dataset!D28-MIN([1]Dataset!$D$2:$D$31))/(MAX([1]Dataset!$D$2:$D$31)-MIN([1]Dataset!$D$2:$D$31)))*100</f>
        <v>19.607843137254903</v>
      </c>
      <c r="E28" s="35">
        <f>(([1]Dataset!E28-MIN([1]Dataset!$E$2:$E$31))/(MAX([1]Dataset!$E$2:$E$31)-MIN([1]Dataset!$E$2:$E$31)))*100</f>
        <v>68.292682926829272</v>
      </c>
      <c r="F28" s="35">
        <f>(([1]Dataset!F28-MIN([1]Dataset!$F$2:$F$31))/(MAX([1]Dataset!$F$2:$F$31)-MIN([1]Dataset!$F$2:$F$31)))*100</f>
        <v>38.366469639978504</v>
      </c>
      <c r="G28" s="35">
        <f>(([1]Dataset!G28-MIN([1]Dataset!$G$2:$G$31))/(MAX([1]Dataset!$G$2:$G$31)-MIN([1]Dataset!$G$2:$G$31)))*100</f>
        <v>12.244897959183671</v>
      </c>
      <c r="H28" s="35">
        <f>(([1]Dataset!H28-MIN([1]Dataset!$H$2:$H$31))/(MAX([1]Dataset!$H$2:$H$31)-MIN([1]Dataset!$H$2:$H$31)))*100</f>
        <v>76.470588235294102</v>
      </c>
      <c r="I28" s="11">
        <f>(([1]Dataset!J28-MIN([1]Dataset!$J$2:$J$31))/(MAX([1]Dataset!$J$2:$J$31)-MIN([1]Dataset!$J$2:$J$31)))*100</f>
        <v>0.64102564102564097</v>
      </c>
      <c r="J28" s="11">
        <f>(([1]Dataset!K28-MIN([1]Dataset!$K$2:$K$31))/(MAX([1]Dataset!$K$2:$K$31)-MIN([1]Dataset!$K$2:$K$31)))*100</f>
        <v>0</v>
      </c>
      <c r="K28" s="12">
        <f>(([1]Dataset!L28-MIN([1]Dataset!$L$2:$L$31))/(MAX([1]Dataset!$L$2:$L$31)-MIN([1]Dataset!$L$2:$L$31)))*100</f>
        <v>75</v>
      </c>
      <c r="L28" s="11">
        <f>(([1]Dataset!M28-MIN([1]Dataset!$M$2:$M$31))/(MAX([1]Dataset!$M$2:$M$31)-MIN([1]Dataset!$M$2:$M$31)))*100</f>
        <v>1.079136690647482</v>
      </c>
      <c r="M28" s="11">
        <f>(([1]Dataset!N28-MIN([1]Dataset!$N$2:$N$31))/(MAX([1]Dataset!$N$2:$N$31)-MIN([1]Dataset!$N$2:$N$31)))*100</f>
        <v>0</v>
      </c>
      <c r="N28" s="11">
        <f>(([1]Dataset!O28-MIN([1]Dataset!$O$2:$O$31))/(MAX([1]Dataset!$O$2:$O$31)-MIN([1]Dataset!$O$2:$O$31)))*100</f>
        <v>0</v>
      </c>
    </row>
    <row r="29" spans="1:14" ht="14.4" x14ac:dyDescent="0.3">
      <c r="A29" s="3" t="s">
        <v>41</v>
      </c>
      <c r="B29" s="35">
        <f>(([1]Dataset!B29-MIN([1]Dataset!$B$2:$B$31))/(MAX([1]Dataset!$B$2:$B$31)-MIN([1]Dataset!$B$2:$B$31)))*100</f>
        <v>6.521739130434784</v>
      </c>
      <c r="C29" s="35">
        <f>(([1]Dataset!C29-MIN([1]Dataset!$C$2:$C$31))/(MAX([1]Dataset!$C$2:$C$31)-MIN([1]Dataset!$C$2:$C$31)))*100</f>
        <v>96.551724137931032</v>
      </c>
      <c r="D29" s="35">
        <f>(([1]Dataset!D29-MIN([1]Dataset!$D$2:$D$31))/(MAX([1]Dataset!$D$2:$D$31)-MIN([1]Dataset!$D$2:$D$31)))*100</f>
        <v>0</v>
      </c>
      <c r="E29" s="35">
        <f>(([1]Dataset!E29-MIN([1]Dataset!$E$2:$E$31))/(MAX([1]Dataset!$E$2:$E$31)-MIN([1]Dataset!$E$2:$E$31)))*100</f>
        <v>68.292682926829272</v>
      </c>
      <c r="F29" s="35">
        <f>(([1]Dataset!F29-MIN([1]Dataset!$F$2:$F$31))/(MAX([1]Dataset!$F$2:$F$31)-MIN([1]Dataset!$F$2:$F$31)))*100</f>
        <v>60.505104782375064</v>
      </c>
      <c r="G29" s="35">
        <f>(([1]Dataset!G29-MIN([1]Dataset!$G$2:$G$31))/(MAX([1]Dataset!$G$2:$G$31)-MIN([1]Dataset!$G$2:$G$31)))*100</f>
        <v>4.6485260770975003</v>
      </c>
      <c r="H29" s="35">
        <f>(([1]Dataset!H29-MIN([1]Dataset!$H$2:$H$31))/(MAX([1]Dataset!$H$2:$H$31)-MIN([1]Dataset!$H$2:$H$31)))*100</f>
        <v>58.823529411764696</v>
      </c>
      <c r="I29" s="11">
        <f>(([1]Dataset!J29-MIN([1]Dataset!$J$2:$J$31))/(MAX([1]Dataset!$J$2:$J$31)-MIN([1]Dataset!$J$2:$J$31)))*100</f>
        <v>4.4871794871794872</v>
      </c>
      <c r="J29" s="11">
        <f>(([1]Dataset!K29-MIN([1]Dataset!$K$2:$K$31))/(MAX([1]Dataset!$K$2:$K$31)-MIN([1]Dataset!$K$2:$K$31)))*100</f>
        <v>2.9411764705882351</v>
      </c>
      <c r="K29" s="12">
        <f>(([1]Dataset!L29-MIN([1]Dataset!$L$2:$L$31))/(MAX([1]Dataset!$L$2:$L$31)-MIN([1]Dataset!$L$2:$L$31)))*100</f>
        <v>25</v>
      </c>
      <c r="L29" s="11">
        <f>(([1]Dataset!M29-MIN([1]Dataset!$M$2:$M$31))/(MAX([1]Dataset!$M$2:$M$31)-MIN([1]Dataset!$M$2:$M$31)))*100</f>
        <v>2.1582733812949639</v>
      </c>
      <c r="M29" s="11">
        <f>(([1]Dataset!N29-MIN([1]Dataset!$N$2:$N$31))/(MAX([1]Dataset!$N$2:$N$31)-MIN([1]Dataset!$N$2:$N$31)))*100</f>
        <v>2.7777777777777777</v>
      </c>
      <c r="N29" s="11">
        <f>(([1]Dataset!O29-MIN([1]Dataset!$O$2:$O$31))/(MAX([1]Dataset!$O$2:$O$31)-MIN([1]Dataset!$O$2:$O$31)))*100</f>
        <v>5.8823529411764701</v>
      </c>
    </row>
    <row r="30" spans="1:14" ht="14.4" x14ac:dyDescent="0.3">
      <c r="A30" s="3" t="s">
        <v>42</v>
      </c>
      <c r="B30" s="35">
        <f>(([1]Dataset!B30-MIN([1]Dataset!$B$2:$B$31))/(MAX([1]Dataset!$B$2:$B$31)-MIN([1]Dataset!$B$2:$B$31)))*100</f>
        <v>2.1739130434782616</v>
      </c>
      <c r="C30" s="35">
        <f>(([1]Dataset!C30-MIN([1]Dataset!$C$2:$C$31))/(MAX([1]Dataset!$C$2:$C$31)-MIN([1]Dataset!$C$2:$C$31)))*100</f>
        <v>86.206896551724128</v>
      </c>
      <c r="D30" s="35">
        <f>(([1]Dataset!D30-MIN([1]Dataset!$D$2:$D$31))/(MAX([1]Dataset!$D$2:$D$31)-MIN([1]Dataset!$D$2:$D$31)))*100</f>
        <v>36.764705882352942</v>
      </c>
      <c r="E30" s="35">
        <f>(([1]Dataset!E30-MIN([1]Dataset!$E$2:$E$31))/(MAX([1]Dataset!$E$2:$E$31)-MIN([1]Dataset!$E$2:$E$31)))*100</f>
        <v>79.268292682926827</v>
      </c>
      <c r="F30" s="35">
        <f>(([1]Dataset!F30-MIN([1]Dataset!$F$2:$F$31))/(MAX([1]Dataset!$F$2:$F$31)-MIN([1]Dataset!$F$2:$F$31)))*100</f>
        <v>30.19881783987104</v>
      </c>
      <c r="G30" s="35">
        <f>(([1]Dataset!G30-MIN([1]Dataset!$G$2:$G$31))/(MAX([1]Dataset!$G$2:$G$31)-MIN([1]Dataset!$G$2:$G$31)))*100</f>
        <v>6.6893424036281095</v>
      </c>
      <c r="H30" s="35">
        <f>(([1]Dataset!H30-MIN([1]Dataset!$H$2:$H$31))/(MAX([1]Dataset!$H$2:$H$31)-MIN([1]Dataset!$H$2:$H$31)))*100</f>
        <v>70.588235294117652</v>
      </c>
      <c r="I30" s="11">
        <f>(([1]Dataset!J30-MIN([1]Dataset!$J$2:$J$31))/(MAX([1]Dataset!$J$2:$J$31)-MIN([1]Dataset!$J$2:$J$31)))*100</f>
        <v>7.0512820512820511</v>
      </c>
      <c r="J30" s="11">
        <f>(([1]Dataset!K30-MIN([1]Dataset!$K$2:$K$31))/(MAX([1]Dataset!$K$2:$K$31)-MIN([1]Dataset!$K$2:$K$31)))*100</f>
        <v>11.76470588235294</v>
      </c>
      <c r="K30" s="12">
        <f>(([1]Dataset!L30-MIN([1]Dataset!$L$2:$L$31))/(MAX([1]Dataset!$L$2:$L$31)-MIN([1]Dataset!$L$2:$L$31)))*100</f>
        <v>25</v>
      </c>
      <c r="L30" s="11">
        <f>(([1]Dataset!M30-MIN([1]Dataset!$M$2:$M$31))/(MAX([1]Dataset!$M$2:$M$31)-MIN([1]Dataset!$M$2:$M$31)))*100</f>
        <v>4.6762589928057556</v>
      </c>
      <c r="M30" s="11">
        <f>(([1]Dataset!N30-MIN([1]Dataset!$N$2:$N$31))/(MAX([1]Dataset!$N$2:$N$31)-MIN([1]Dataset!$N$2:$N$31)))*100</f>
        <v>5.5555555555555554</v>
      </c>
      <c r="N30" s="11">
        <f>(([1]Dataset!O30-MIN([1]Dataset!$O$2:$O$31))/(MAX([1]Dataset!$O$2:$O$31)-MIN([1]Dataset!$O$2:$O$31)))*100</f>
        <v>5.8823529411764701</v>
      </c>
    </row>
    <row r="31" spans="1:14" ht="14.4" x14ac:dyDescent="0.3">
      <c r="A31" s="3" t="s">
        <v>43</v>
      </c>
      <c r="B31" s="35">
        <f>(([1]Dataset!B31-MIN([1]Dataset!$B$2:$B$31))/(MAX([1]Dataset!$B$2:$B$31)-MIN([1]Dataset!$B$2:$B$31)))*100</f>
        <v>0</v>
      </c>
      <c r="C31" s="35">
        <f>(([1]Dataset!C31-MIN([1]Dataset!$C$2:$C$31))/(MAX([1]Dataset!$C$2:$C$31)-MIN([1]Dataset!$C$2:$C$31)))*100</f>
        <v>73.103448275862064</v>
      </c>
      <c r="D31" s="35">
        <f>(([1]Dataset!D31-MIN([1]Dataset!$D$2:$D$31))/(MAX([1]Dataset!$D$2:$D$31)-MIN([1]Dataset!$D$2:$D$31)))*100</f>
        <v>19.607843137254903</v>
      </c>
      <c r="E31" s="35">
        <f>(([1]Dataset!E31-MIN([1]Dataset!$E$2:$E$31))/(MAX([1]Dataset!$E$2:$E$31)-MIN([1]Dataset!$E$2:$E$31)))*100</f>
        <v>61.463414634146339</v>
      </c>
      <c r="F31" s="35">
        <f>(([1]Dataset!F31-MIN([1]Dataset!$F$2:$F$31))/(MAX([1]Dataset!$F$2:$F$31)-MIN([1]Dataset!$F$2:$F$31)))*100</f>
        <v>0</v>
      </c>
      <c r="G31" s="35">
        <f>(([1]Dataset!G31-MIN([1]Dataset!$G$2:$G$31))/(MAX([1]Dataset!$G$2:$G$31)-MIN([1]Dataset!$G$2:$G$31)))*100</f>
        <v>14.285714285714283</v>
      </c>
      <c r="H31" s="35">
        <f>(([1]Dataset!H31-MIN([1]Dataset!$H$2:$H$31))/(MAX([1]Dataset!$H$2:$H$31)-MIN([1]Dataset!$H$2:$H$31)))*100</f>
        <v>64.705882352941174</v>
      </c>
      <c r="I31" s="11">
        <f>(([1]Dataset!J31-MIN([1]Dataset!$J$2:$J$31))/(MAX([1]Dataset!$J$2:$J$31)-MIN([1]Dataset!$J$2:$J$31)))*100</f>
        <v>2.5641025641025639</v>
      </c>
      <c r="J31" s="11">
        <f>(([1]Dataset!K31-MIN([1]Dataset!$K$2:$K$31))/(MAX([1]Dataset!$K$2:$K$31)-MIN([1]Dataset!$K$2:$K$31)))*100</f>
        <v>0</v>
      </c>
      <c r="K31" s="12">
        <f>(([1]Dataset!L31-MIN([1]Dataset!$L$2:$L$31))/(MAX([1]Dataset!$L$2:$L$31)-MIN([1]Dataset!$L$2:$L$31)))*100</f>
        <v>0</v>
      </c>
      <c r="L31" s="11">
        <f>(([1]Dataset!M31-MIN([1]Dataset!$M$2:$M$31))/(MAX([1]Dataset!$M$2:$M$31)-MIN([1]Dataset!$M$2:$M$31)))*100</f>
        <v>1.079136690647482</v>
      </c>
      <c r="M31" s="11">
        <f>(([1]Dataset!N31-MIN([1]Dataset!$N$2:$N$31))/(MAX([1]Dataset!$N$2:$N$31)-MIN([1]Dataset!$N$2:$N$31)))*100</f>
        <v>0</v>
      </c>
      <c r="N31" s="11">
        <f>(([1]Dataset!O31-MIN([1]Dataset!$O$2:$O$31))/(MAX([1]Dataset!$O$2:$O$31)-MIN([1]Dataset!$O$2:$O$31)))*100</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9A2B7-3E08-493C-B404-9C5088E78AEE}">
  <sheetPr codeName="Sheet8"/>
  <dimension ref="A1:S31"/>
  <sheetViews>
    <sheetView zoomScale="109" workbookViewId="0">
      <pane xSplit="1" topLeftCell="I1" activePane="topRight" state="frozen"/>
      <selection pane="topRight" activeCell="A7" sqref="A7"/>
    </sheetView>
  </sheetViews>
  <sheetFormatPr defaultRowHeight="15" customHeight="1" x14ac:dyDescent="0.3"/>
  <cols>
    <col min="1" max="1" width="18.33203125" customWidth="1"/>
    <col min="2" max="2" width="20.33203125" customWidth="1"/>
    <col min="3" max="3" width="19.33203125" hidden="1" customWidth="1"/>
    <col min="4" max="4" width="20" hidden="1" customWidth="1"/>
    <col min="5" max="5" width="19.109375" customWidth="1"/>
    <col min="6" max="6" width="20.5546875" customWidth="1"/>
    <col min="7" max="7" width="20.21875" customWidth="1"/>
    <col min="8" max="8" width="18.21875" customWidth="1"/>
    <col min="9" max="9" width="16.5546875" customWidth="1"/>
    <col min="10" max="10" width="19.77734375" customWidth="1"/>
    <col min="11" max="11" width="20.21875" customWidth="1"/>
    <col min="12" max="12" width="21.77734375" customWidth="1"/>
    <col min="13" max="13" width="19" customWidth="1"/>
    <col min="14" max="14" width="21.33203125" customWidth="1"/>
    <col min="15" max="15" width="13.5546875" customWidth="1"/>
  </cols>
  <sheetData>
    <row r="1" spans="1:19" ht="14.4" x14ac:dyDescent="0.3">
      <c r="A1" s="2" t="s">
        <v>0</v>
      </c>
      <c r="B1" s="2" t="s">
        <v>1</v>
      </c>
      <c r="C1" s="2" t="s">
        <v>2</v>
      </c>
      <c r="D1" s="2" t="s">
        <v>3</v>
      </c>
      <c r="E1" s="2" t="s">
        <v>4</v>
      </c>
      <c r="F1" s="2" t="s">
        <v>5</v>
      </c>
      <c r="G1" s="2" t="s">
        <v>6</v>
      </c>
      <c r="H1" s="2" t="s">
        <v>7</v>
      </c>
      <c r="I1" s="34" t="s">
        <v>8</v>
      </c>
      <c r="J1" s="34" t="s">
        <v>9</v>
      </c>
      <c r="K1" s="34" t="s">
        <v>10</v>
      </c>
      <c r="L1" s="34" t="s">
        <v>11</v>
      </c>
      <c r="M1" s="34" t="s">
        <v>12</v>
      </c>
      <c r="N1" s="34" t="s">
        <v>13</v>
      </c>
      <c r="O1" s="34" t="s">
        <v>75</v>
      </c>
      <c r="Q1" s="52" t="s">
        <v>74</v>
      </c>
      <c r="R1" s="52"/>
      <c r="S1" s="52"/>
    </row>
    <row r="2" spans="1:19" ht="14.4" x14ac:dyDescent="0.3">
      <c r="A2" s="3" t="s">
        <v>14</v>
      </c>
      <c r="B2" s="36">
        <f>Table2[[#This Row],[Indian Population %]]*0.2</f>
        <v>18.260869565217394</v>
      </c>
      <c r="C2" s="36"/>
      <c r="D2" s="36"/>
      <c r="E2" s="36">
        <f>Table2[[#This Row],[Total Tax Rate (%)]]*'Weighted Scores'!$S$5</f>
        <v>17.317073170731707</v>
      </c>
      <c r="F2" s="36">
        <f>Table2[[#This Row],[Crime Rate per 100k]]*'Weighted Scores'!$S$6</f>
        <v>4.2342826437399257</v>
      </c>
      <c r="G2" s="36">
        <f>Table2[[#This Row],[Cost of Living Index]]*'Weighted Scores'!$S$7</f>
        <v>17.95918367346939</v>
      </c>
      <c r="H2" s="36">
        <f>Table2[[#This Row],[Job Market Score]]*'Weighted Scores'!$S$8</f>
        <v>3.5294117647058827</v>
      </c>
      <c r="I2" s="37">
        <f>Table2[[#This Row],[Number of Parks]]*'Weighted Scores'!$S$9</f>
        <v>2</v>
      </c>
      <c r="J2" s="37">
        <f>Table2[[#This Row],[Number of Museums]]*'Weighted Scores'!$S$10</f>
        <v>0.41176470588235292</v>
      </c>
      <c r="K2" s="38">
        <f>Table2[[#This Row],[Nightlife score (0-10)]]*'Weighted Scores'!$S$11</f>
        <v>5</v>
      </c>
      <c r="L2" s="37">
        <f>Table2[[#This Row],[Number of Restaurants]]*'Weighted Scores'!$S$12</f>
        <v>4.1007194244604319</v>
      </c>
      <c r="M2" s="37">
        <f>Table2[[#This Row],[Number of Theaters]]*'Weighted Scores'!$S$13</f>
        <v>1</v>
      </c>
      <c r="N2" s="37">
        <f>Table2[[#This Row],[Annual Cultural Events]]*'Weighted Scores'!$S$14</f>
        <v>1</v>
      </c>
      <c r="O2" s="39">
        <f>SUM(Table24[[#This Row],[Indian Population %]:[Annual Cultural Events]])</f>
        <v>74.81330494820709</v>
      </c>
      <c r="Q2" t="str" cm="1">
        <f t="array" ref="Q2:Q14">TRANSPOSE(Table24[[#Headers],[Indian Population %]:[Annual Cultural Events]])</f>
        <v>Indian Population %</v>
      </c>
      <c r="S2">
        <v>0.2</v>
      </c>
    </row>
    <row r="3" spans="1:19" ht="14.4" x14ac:dyDescent="0.3">
      <c r="A3" s="3" t="s">
        <v>15</v>
      </c>
      <c r="B3" s="36">
        <f>Table2[[#This Row],[Indian Population %]]*0.2</f>
        <v>4.6739130434782616</v>
      </c>
      <c r="C3" s="36"/>
      <c r="D3" s="36"/>
      <c r="E3" s="36">
        <f>Table2[[#This Row],[Total Tax Rate (%)]]*'Weighted Scores'!$S$5</f>
        <v>17.073170731707318</v>
      </c>
      <c r="F3" s="36">
        <f>Table2[[#This Row],[Crime Rate per 100k]]*'Weighted Scores'!$S$6</f>
        <v>6.46963997850618</v>
      </c>
      <c r="G3" s="36">
        <f>Table2[[#This Row],[Cost of Living Index]]*'Weighted Scores'!$S$7</f>
        <v>13.514739229024944</v>
      </c>
      <c r="H3" s="36">
        <f>Table2[[#This Row],[Job Market Score]]*'Weighted Scores'!$S$8</f>
        <v>2.0588235294117649</v>
      </c>
      <c r="I3" s="37">
        <f>Table2[[#This Row],[Number of Parks]]*'Weighted Scores'!$S$9</f>
        <v>0.39743589743589747</v>
      </c>
      <c r="J3" s="37">
        <f>Table2[[#This Row],[Number of Museums]]*'Weighted Scores'!$S$10</f>
        <v>1</v>
      </c>
      <c r="K3" s="38">
        <f>Table2[[#This Row],[Nightlife score (0-10)]]*'Weighted Scores'!$S$11</f>
        <v>5</v>
      </c>
      <c r="L3" s="37">
        <f>Table2[[#This Row],[Number of Restaurants]]*'Weighted Scores'!$S$12</f>
        <v>5</v>
      </c>
      <c r="M3" s="37">
        <f>Table2[[#This Row],[Number of Theaters]]*'Weighted Scores'!$S$13</f>
        <v>0.33333333333333331</v>
      </c>
      <c r="N3" s="37">
        <f>Table2[[#This Row],[Annual Cultural Events]]*'Weighted Scores'!$S$14</f>
        <v>0.41176470588235292</v>
      </c>
      <c r="O3" s="39">
        <f>SUM(Table24[[#This Row],[Indian Population %]:[Annual Cultural Events]])</f>
        <v>55.932820448780063</v>
      </c>
      <c r="Q3" t="str">
        <v>State Tax Rate (%)</v>
      </c>
    </row>
    <row r="4" spans="1:19" ht="14.4" x14ac:dyDescent="0.3">
      <c r="A4" s="3" t="s">
        <v>16</v>
      </c>
      <c r="B4" s="36">
        <f>Table2[[#This Row],[Indian Population %]]*0.2</f>
        <v>11.630434782608697</v>
      </c>
      <c r="C4" s="36"/>
      <c r="D4" s="36"/>
      <c r="E4" s="36">
        <f>Table2[[#This Row],[Total Tax Rate (%)]]*'Weighted Scores'!$S$5</f>
        <v>20</v>
      </c>
      <c r="F4" s="36">
        <f>Table2[[#This Row],[Crime Rate per 100k]]*'Weighted Scores'!$S$6</f>
        <v>10.241805480924235</v>
      </c>
      <c r="G4" s="36">
        <f>Table2[[#This Row],[Cost of Living Index]]*'Weighted Scores'!$S$7</f>
        <v>6.8253968253968242</v>
      </c>
      <c r="H4" s="36">
        <f>Table2[[#This Row],[Job Market Score]]*'Weighted Scores'!$S$8</f>
        <v>2.9411764705882351</v>
      </c>
      <c r="I4" s="37">
        <f>Table2[[#This Row],[Number of Parks]]*'Weighted Scores'!$S$9</f>
        <v>0.58974358974358976</v>
      </c>
      <c r="J4" s="37">
        <f>Table2[[#This Row],[Number of Museums]]*'Weighted Scores'!$S$10</f>
        <v>0.17647058823529413</v>
      </c>
      <c r="K4" s="38">
        <f>Table2[[#This Row],[Nightlife score (0-10)]]*'Weighted Scores'!$S$11</f>
        <v>3.75</v>
      </c>
      <c r="L4" s="37">
        <f>Table2[[#This Row],[Number of Restaurants]]*'Weighted Scores'!$S$12</f>
        <v>1.1330935251798562</v>
      </c>
      <c r="M4" s="37">
        <f>Table2[[#This Row],[Number of Theaters]]*'Weighted Scores'!$S$13</f>
        <v>1</v>
      </c>
      <c r="N4" s="37">
        <f>Table2[[#This Row],[Annual Cultural Events]]*'Weighted Scores'!$S$14</f>
        <v>0.41176470588235292</v>
      </c>
      <c r="O4" s="39">
        <f>SUM(Table24[[#This Row],[Indian Population %]:[Annual Cultural Events]])</f>
        <v>58.699885968559087</v>
      </c>
      <c r="Q4" t="str">
        <v>Local Tax Rate (%)</v>
      </c>
    </row>
    <row r="5" spans="1:19" ht="14.4" x14ac:dyDescent="0.3">
      <c r="A5" s="3" t="s">
        <v>17</v>
      </c>
      <c r="B5" s="36">
        <f>Table2[[#This Row],[Indian Population %]]*0.2</f>
        <v>10.326086956521738</v>
      </c>
      <c r="C5" s="36"/>
      <c r="D5" s="36"/>
      <c r="E5" s="36">
        <f>Table2[[#This Row],[Total Tax Rate (%)]]*'Weighted Scores'!$S$5</f>
        <v>11.707317073170731</v>
      </c>
      <c r="F5" s="36">
        <f>Table2[[#This Row],[Crime Rate per 100k]]*'Weighted Scores'!$S$6</f>
        <v>9.70445996775927</v>
      </c>
      <c r="G5" s="36">
        <f>Table2[[#This Row],[Cost of Living Index]]*'Weighted Scores'!$S$7</f>
        <v>14.875283446712022</v>
      </c>
      <c r="H5" s="36">
        <f>Table2[[#This Row],[Job Market Score]]*'Weighted Scores'!$S$8</f>
        <v>4.1176470588235299</v>
      </c>
      <c r="I5" s="37">
        <f>Table2[[#This Row],[Number of Parks]]*'Weighted Scores'!$S$9</f>
        <v>0.20512820512820512</v>
      </c>
      <c r="J5" s="37">
        <f>Table2[[#This Row],[Number of Museums]]*'Weighted Scores'!$S$10</f>
        <v>0.23529411764705882</v>
      </c>
      <c r="K5" s="38">
        <f>Table2[[#This Row],[Nightlife score (0-10)]]*'Weighted Scores'!$S$11</f>
        <v>2.5</v>
      </c>
      <c r="L5" s="37">
        <f>Table2[[#This Row],[Number of Restaurants]]*'Weighted Scores'!$S$12</f>
        <v>0.17985611510791366</v>
      </c>
      <c r="M5" s="37">
        <f>Table2[[#This Row],[Number of Theaters]]*'Weighted Scores'!$S$13</f>
        <v>0.38888888888888895</v>
      </c>
      <c r="N5" s="37">
        <f>Table2[[#This Row],[Annual Cultural Events]]*'Weighted Scores'!$S$14</f>
        <v>0.52941176470588236</v>
      </c>
      <c r="O5" s="39">
        <f>SUM(Table24[[#This Row],[Indian Population %]:[Annual Cultural Events]])</f>
        <v>54.769373594465236</v>
      </c>
      <c r="Q5" t="str">
        <v>Total Tax Rate (%)</v>
      </c>
      <c r="S5">
        <v>0.2</v>
      </c>
    </row>
    <row r="6" spans="1:19" ht="14.4" x14ac:dyDescent="0.3">
      <c r="A6" s="3" t="s">
        <v>18</v>
      </c>
      <c r="B6" s="36">
        <f>Table2[[#This Row],[Indian Population %]]*0.2</f>
        <v>20</v>
      </c>
      <c r="C6" s="36"/>
      <c r="D6" s="36"/>
      <c r="E6" s="36">
        <f>Table2[[#This Row],[Total Tax Rate (%)]]*'Weighted Scores'!$S$5</f>
        <v>16.585365853658537</v>
      </c>
      <c r="F6" s="36">
        <f>Table2[[#This Row],[Crime Rate per 100k]]*'Weighted Scores'!$S$6</f>
        <v>5.6206340677055344</v>
      </c>
      <c r="G6" s="36">
        <f>Table2[[#This Row],[Cost of Living Index]]*'Weighted Scores'!$S$7</f>
        <v>20</v>
      </c>
      <c r="H6" s="36">
        <f>Table2[[#This Row],[Job Market Score]]*'Weighted Scores'!$S$8</f>
        <v>5</v>
      </c>
      <c r="I6" s="37">
        <f>Table2[[#This Row],[Number of Parks]]*'Weighted Scores'!$S$9</f>
        <v>0.10256410256410256</v>
      </c>
      <c r="J6" s="37">
        <f>Table2[[#This Row],[Number of Museums]]*'Weighted Scores'!$S$10</f>
        <v>0.11764705882352941</v>
      </c>
      <c r="K6" s="38">
        <f>Table2[[#This Row],[Nightlife score (0-10)]]*'Weighted Scores'!$S$11</f>
        <v>2.5</v>
      </c>
      <c r="L6" s="37">
        <f>Table2[[#This Row],[Number of Restaurants]]*'Weighted Scores'!$S$12</f>
        <v>0.59352517985611508</v>
      </c>
      <c r="M6" s="37">
        <f>Table2[[#This Row],[Number of Theaters]]*'Weighted Scores'!$S$13</f>
        <v>0.16666666666666666</v>
      </c>
      <c r="N6" s="37">
        <f>Table2[[#This Row],[Annual Cultural Events]]*'Weighted Scores'!$S$14</f>
        <v>0.29411764705882354</v>
      </c>
      <c r="O6" s="39">
        <f>SUM(Table24[[#This Row],[Indian Population %]:[Annual Cultural Events]])</f>
        <v>70.980520576333319</v>
      </c>
      <c r="Q6" t="str">
        <v>Crime Rate per 100k</v>
      </c>
      <c r="S6">
        <v>0.2</v>
      </c>
    </row>
    <row r="7" spans="1:19" ht="14.4" x14ac:dyDescent="0.3">
      <c r="A7" s="3" t="s">
        <v>19</v>
      </c>
      <c r="B7" s="36">
        <f>Table2[[#This Row],[Indian Population %]]*0.2</f>
        <v>6.9565217391304364</v>
      </c>
      <c r="C7" s="36"/>
      <c r="D7" s="36"/>
      <c r="E7" s="36">
        <f>Table2[[#This Row],[Total Tax Rate (%)]]*'Weighted Scores'!$S$5</f>
        <v>15.609756097560975</v>
      </c>
      <c r="F7" s="36">
        <f>Table2[[#This Row],[Crime Rate per 100k]]*'Weighted Scores'!$S$6</f>
        <v>8.1891456206340685</v>
      </c>
      <c r="G7" s="36">
        <f>Table2[[#This Row],[Cost of Living Index]]*'Weighted Scores'!$S$7</f>
        <v>4.6712018140589562</v>
      </c>
      <c r="H7" s="36">
        <f>Table2[[#This Row],[Job Market Score]]*'Weighted Scores'!$S$8</f>
        <v>2.6470588235294126</v>
      </c>
      <c r="I7" s="37">
        <f>Table2[[#This Row],[Number of Parks]]*'Weighted Scores'!$S$9</f>
        <v>0.20512820512820512</v>
      </c>
      <c r="J7" s="37">
        <f>Table2[[#This Row],[Number of Museums]]*'Weighted Scores'!$S$10</f>
        <v>0.41176470588235292</v>
      </c>
      <c r="K7" s="38">
        <f>Table2[[#This Row],[Nightlife score (0-10)]]*'Weighted Scores'!$S$11</f>
        <v>2.5</v>
      </c>
      <c r="L7" s="37">
        <f>Table2[[#This Row],[Number of Restaurants]]*'Weighted Scores'!$S$12</f>
        <v>0.86330935251798557</v>
      </c>
      <c r="M7" s="37">
        <f>Table2[[#This Row],[Number of Theaters]]*'Weighted Scores'!$S$13</f>
        <v>0.16666666666666666</v>
      </c>
      <c r="N7" s="37">
        <f>Table2[[#This Row],[Annual Cultural Events]]*'Weighted Scores'!$S$14</f>
        <v>0.17647058823529413</v>
      </c>
      <c r="O7" s="39">
        <f>SUM(Table24[[#This Row],[Indian Population %]:[Annual Cultural Events]])</f>
        <v>42.397023613344359</v>
      </c>
      <c r="Q7" t="str">
        <v>Cost of Living Index</v>
      </c>
      <c r="S7">
        <v>0.2</v>
      </c>
    </row>
    <row r="8" spans="1:19" ht="14.4" x14ac:dyDescent="0.3">
      <c r="A8" s="3" t="s">
        <v>20</v>
      </c>
      <c r="B8" s="36">
        <f>Table2[[#This Row],[Indian Population %]]*0.2</f>
        <v>5.8695652173913047</v>
      </c>
      <c r="C8" s="36"/>
      <c r="D8" s="36"/>
      <c r="E8" s="36">
        <f>Table2[[#This Row],[Total Tax Rate (%)]]*'Weighted Scores'!$S$5</f>
        <v>12.195121951219512</v>
      </c>
      <c r="F8" s="36">
        <f>Table2[[#This Row],[Crime Rate per 100k]]*'Weighted Scores'!$S$6</f>
        <v>5.1155292853304681</v>
      </c>
      <c r="G8" s="36">
        <f>Table2[[#This Row],[Cost of Living Index]]*'Weighted Scores'!$S$7</f>
        <v>15.804988662131519</v>
      </c>
      <c r="H8" s="36">
        <f>Table2[[#This Row],[Job Market Score]]*'Weighted Scores'!$S$8</f>
        <v>4.4117647058823524</v>
      </c>
      <c r="I8" s="37">
        <f>Table2[[#This Row],[Number of Parks]]*'Weighted Scores'!$S$9</f>
        <v>7.6923076923076927E-2</v>
      </c>
      <c r="J8" s="37">
        <f>Table2[[#This Row],[Number of Museums]]*'Weighted Scores'!$S$10</f>
        <v>0.17647058823529413</v>
      </c>
      <c r="K8" s="38">
        <f>Table2[[#This Row],[Nightlife score (0-10)]]*'Weighted Scores'!$S$11</f>
        <v>1.25</v>
      </c>
      <c r="L8" s="37">
        <f>Table2[[#This Row],[Number of Restaurants]]*'Weighted Scores'!$S$12</f>
        <v>0.32374100719424459</v>
      </c>
      <c r="M8" s="37">
        <f>Table2[[#This Row],[Number of Theaters]]*'Weighted Scores'!$S$13</f>
        <v>0.1111111111111111</v>
      </c>
      <c r="N8" s="37">
        <f>Table2[[#This Row],[Annual Cultural Events]]*'Weighted Scores'!$S$14</f>
        <v>0.11764705882352941</v>
      </c>
      <c r="O8" s="39">
        <f>SUM(Table24[[#This Row],[Indian Population %]:[Annual Cultural Events]])</f>
        <v>45.452862664242424</v>
      </c>
      <c r="Q8" t="str">
        <v>Job Market Score</v>
      </c>
      <c r="S8">
        <v>0.05</v>
      </c>
    </row>
    <row r="9" spans="1:19" ht="14.4" x14ac:dyDescent="0.3">
      <c r="A9" s="3" t="s">
        <v>21</v>
      </c>
      <c r="B9" s="36">
        <f>Table2[[#This Row],[Indian Population %]]*0.2</f>
        <v>6.8478260869565224</v>
      </c>
      <c r="C9" s="36"/>
      <c r="D9" s="36"/>
      <c r="E9" s="36">
        <f>Table2[[#This Row],[Total Tax Rate (%)]]*'Weighted Scores'!$S$5</f>
        <v>11.707317073170731</v>
      </c>
      <c r="F9" s="36">
        <f>Table2[[#This Row],[Crime Rate per 100k]]*'Weighted Scores'!$S$6</f>
        <v>20</v>
      </c>
      <c r="G9" s="36">
        <f>Table2[[#This Row],[Cost of Living Index]]*'Weighted Scores'!$S$7</f>
        <v>1.6553287981859406</v>
      </c>
      <c r="H9" s="36">
        <f>Table2[[#This Row],[Job Market Score]]*'Weighted Scores'!$S$8</f>
        <v>0</v>
      </c>
      <c r="I9" s="37">
        <f>Table2[[#This Row],[Number of Parks]]*'Weighted Scores'!$S$9</f>
        <v>0.20512820512820512</v>
      </c>
      <c r="J9" s="37">
        <f>Table2[[#This Row],[Number of Museums]]*'Weighted Scores'!$S$10</f>
        <v>0</v>
      </c>
      <c r="K9" s="38">
        <f>Table2[[#This Row],[Nightlife score (0-10)]]*'Weighted Scores'!$S$11</f>
        <v>2.5</v>
      </c>
      <c r="L9" s="37">
        <f>Table2[[#This Row],[Number of Restaurants]]*'Weighted Scores'!$S$12</f>
        <v>5.3956834532374098E-2</v>
      </c>
      <c r="M9" s="37">
        <f>Table2[[#This Row],[Number of Theaters]]*'Weighted Scores'!$S$13</f>
        <v>0</v>
      </c>
      <c r="N9" s="37">
        <f>Table2[[#This Row],[Annual Cultural Events]]*'Weighted Scores'!$S$14</f>
        <v>5.8823529411764705E-2</v>
      </c>
      <c r="O9" s="39">
        <f>SUM(Table24[[#This Row],[Indian Population %]:[Annual Cultural Events]])</f>
        <v>43.028380527385544</v>
      </c>
      <c r="Q9" t="str">
        <v>Number of Parks</v>
      </c>
      <c r="S9">
        <v>0.02</v>
      </c>
    </row>
    <row r="10" spans="1:19" ht="14.4" x14ac:dyDescent="0.3">
      <c r="A10" s="3" t="s">
        <v>22</v>
      </c>
      <c r="B10" s="36">
        <f>Table2[[#This Row],[Indian Population %]]*0.2</f>
        <v>8.0434782608695663</v>
      </c>
      <c r="C10" s="36"/>
      <c r="D10" s="36"/>
      <c r="E10" s="36">
        <f>Table2[[#This Row],[Total Tax Rate (%)]]*'Weighted Scores'!$S$5</f>
        <v>16.09756097560976</v>
      </c>
      <c r="F10" s="36">
        <f>Table2[[#This Row],[Crime Rate per 100k]]*'Weighted Scores'!$S$6</f>
        <v>6.620096722192371</v>
      </c>
      <c r="G10" s="36">
        <f>Table2[[#This Row],[Cost of Living Index]]*'Weighted Scores'!$S$7</f>
        <v>3.9909297052154189</v>
      </c>
      <c r="H10" s="36">
        <f>Table2[[#This Row],[Job Market Score]]*'Weighted Scores'!$S$8</f>
        <v>3.8235294117647052</v>
      </c>
      <c r="I10" s="37">
        <f>Table2[[#This Row],[Number of Parks]]*'Weighted Scores'!$S$9</f>
        <v>0.33333333333333331</v>
      </c>
      <c r="J10" s="37">
        <f>Table2[[#This Row],[Number of Museums]]*'Weighted Scores'!$S$10</f>
        <v>0.29411764705882354</v>
      </c>
      <c r="K10" s="38">
        <f>Table2[[#This Row],[Nightlife score (0-10)]]*'Weighted Scores'!$S$11</f>
        <v>2.5</v>
      </c>
      <c r="L10" s="37">
        <f>Table2[[#This Row],[Number of Restaurants]]*'Weighted Scores'!$S$12</f>
        <v>0.86330935251798557</v>
      </c>
      <c r="M10" s="37">
        <f>Table2[[#This Row],[Number of Theaters]]*'Weighted Scores'!$S$13</f>
        <v>0.22222222222222221</v>
      </c>
      <c r="N10" s="37">
        <f>Table2[[#This Row],[Annual Cultural Events]]*'Weighted Scores'!$S$14</f>
        <v>0.17647058823529413</v>
      </c>
      <c r="O10" s="39">
        <f>SUM(Table24[[#This Row],[Indian Population %]:[Annual Cultural Events]])</f>
        <v>42.965048219019486</v>
      </c>
      <c r="Q10" t="str">
        <v>Number of Museums</v>
      </c>
      <c r="S10">
        <v>0.01</v>
      </c>
    </row>
    <row r="11" spans="1:19" ht="14.4" x14ac:dyDescent="0.3">
      <c r="A11" s="3" t="s">
        <v>23</v>
      </c>
      <c r="B11" s="36">
        <f>Table2[[#This Row],[Indian Population %]]*0.2</f>
        <v>9.7826086956521774</v>
      </c>
      <c r="C11" s="36"/>
      <c r="D11" s="36"/>
      <c r="E11" s="36">
        <f>Table2[[#This Row],[Total Tax Rate (%)]]*'Weighted Scores'!$S$5</f>
        <v>16.09756097560976</v>
      </c>
      <c r="F11" s="36">
        <f>Table2[[#This Row],[Crime Rate per 100k]]*'Weighted Scores'!$S$6</f>
        <v>9.4572810317033866</v>
      </c>
      <c r="G11" s="36">
        <f>Table2[[#This Row],[Cost of Living Index]]*'Weighted Scores'!$S$7</f>
        <v>3.0839002267573692</v>
      </c>
      <c r="H11" s="36">
        <f>Table2[[#This Row],[Job Market Score]]*'Weighted Scores'!$S$8</f>
        <v>3.5294117647058827</v>
      </c>
      <c r="I11" s="37">
        <f>Table2[[#This Row],[Number of Parks]]*'Weighted Scores'!$S$9</f>
        <v>0.29487179487179488</v>
      </c>
      <c r="J11" s="37">
        <f>Table2[[#This Row],[Number of Museums]]*'Weighted Scores'!$S$10</f>
        <v>0.70588235294117652</v>
      </c>
      <c r="K11" s="38">
        <f>Table2[[#This Row],[Nightlife score (0-10)]]*'Weighted Scores'!$S$11</f>
        <v>2.5</v>
      </c>
      <c r="L11" s="37">
        <f>Table2[[#This Row],[Number of Restaurants]]*'Weighted Scores'!$S$12</f>
        <v>1.5827338129496402</v>
      </c>
      <c r="M11" s="37">
        <f>Table2[[#This Row],[Number of Theaters]]*'Weighted Scores'!$S$13</f>
        <v>0.16666666666666666</v>
      </c>
      <c r="N11" s="37">
        <f>Table2[[#This Row],[Annual Cultural Events]]*'Weighted Scores'!$S$14</f>
        <v>5.8823529411764705E-2</v>
      </c>
      <c r="O11" s="39">
        <f>SUM(Table24[[#This Row],[Indian Population %]:[Annual Cultural Events]])</f>
        <v>47.259740851269626</v>
      </c>
      <c r="Q11" t="str">
        <v>Nightlife score (0-10)</v>
      </c>
      <c r="S11">
        <v>0.05</v>
      </c>
    </row>
    <row r="12" spans="1:19" ht="14.4" x14ac:dyDescent="0.3">
      <c r="A12" s="3" t="s">
        <v>24</v>
      </c>
      <c r="B12" s="36">
        <f>Table2[[#This Row],[Indian Population %]]*0.2</f>
        <v>7.5000000000000018</v>
      </c>
      <c r="C12" s="36"/>
      <c r="D12" s="36"/>
      <c r="E12" s="36">
        <f>Table2[[#This Row],[Total Tax Rate (%)]]*'Weighted Scores'!$S$5</f>
        <v>15.609756097560975</v>
      </c>
      <c r="F12" s="36">
        <f>Table2[[#This Row],[Crime Rate per 100k]]*'Weighted Scores'!$S$6</f>
        <v>13.831273508866202</v>
      </c>
      <c r="G12" s="36">
        <f>Table2[[#This Row],[Cost of Living Index]]*'Weighted Scores'!$S$7</f>
        <v>2.9478458049886629</v>
      </c>
      <c r="H12" s="36">
        <f>Table2[[#This Row],[Job Market Score]]*'Weighted Scores'!$S$8</f>
        <v>4.1176470588235299</v>
      </c>
      <c r="I12" s="37">
        <f>Table2[[#This Row],[Number of Parks]]*'Weighted Scores'!$S$9</f>
        <v>0.20512820512820512</v>
      </c>
      <c r="J12" s="37">
        <f>Table2[[#This Row],[Number of Museums]]*'Weighted Scores'!$S$10</f>
        <v>0.26470588235294118</v>
      </c>
      <c r="K12" s="38">
        <f>Table2[[#This Row],[Nightlife score (0-10)]]*'Weighted Scores'!$S$11</f>
        <v>3.75</v>
      </c>
      <c r="L12" s="37">
        <f>Table2[[#This Row],[Number of Restaurants]]*'Weighted Scores'!$S$12</f>
        <v>0.41366906474820148</v>
      </c>
      <c r="M12" s="37">
        <f>Table2[[#This Row],[Number of Theaters]]*'Weighted Scores'!$S$13</f>
        <v>5.5555555555555552E-2</v>
      </c>
      <c r="N12" s="37">
        <f>Table2[[#This Row],[Annual Cultural Events]]*'Weighted Scores'!$S$14</f>
        <v>0.11764705882352941</v>
      </c>
      <c r="O12" s="39">
        <f>SUM(Table24[[#This Row],[Indian Population %]:[Annual Cultural Events]])</f>
        <v>48.813228236847799</v>
      </c>
      <c r="Q12" t="str">
        <v>Number of Restaurants</v>
      </c>
      <c r="S12">
        <v>0.05</v>
      </c>
    </row>
    <row r="13" spans="1:19" ht="14.4" x14ac:dyDescent="0.3">
      <c r="A13" s="3" t="s">
        <v>25</v>
      </c>
      <c r="B13" s="36">
        <f>Table2[[#This Row],[Indian Population %]]*0.2</f>
        <v>4.3478260869565224</v>
      </c>
      <c r="C13" s="36"/>
      <c r="D13" s="36"/>
      <c r="E13" s="36">
        <f>Table2[[#This Row],[Total Tax Rate (%)]]*'Weighted Scores'!$S$5</f>
        <v>13.658536585365855</v>
      </c>
      <c r="F13" s="36">
        <f>Table2[[#This Row],[Crime Rate per 100k]]*'Weighted Scores'!$S$6</f>
        <v>5.1907576571735632</v>
      </c>
      <c r="G13" s="36">
        <f>Table2[[#This Row],[Cost of Living Index]]*'Weighted Scores'!$S$7</f>
        <v>7.3922902494331071</v>
      </c>
      <c r="H13" s="36">
        <f>Table2[[#This Row],[Job Market Score]]*'Weighted Scores'!$S$8</f>
        <v>3.5294117647058827</v>
      </c>
      <c r="I13" s="37">
        <f>Table2[[#This Row],[Number of Parks]]*'Weighted Scores'!$S$9</f>
        <v>0.14102564102564102</v>
      </c>
      <c r="J13" s="37">
        <f>Table2[[#This Row],[Number of Museums]]*'Weighted Scores'!$S$10</f>
        <v>0.11764705882352941</v>
      </c>
      <c r="K13" s="38">
        <f>Table2[[#This Row],[Nightlife score (0-10)]]*'Weighted Scores'!$S$11</f>
        <v>5</v>
      </c>
      <c r="L13" s="37">
        <f>Table2[[#This Row],[Number of Restaurants]]*'Weighted Scores'!$S$12</f>
        <v>0.50359712230215825</v>
      </c>
      <c r="M13" s="37">
        <f>Table2[[#This Row],[Number of Theaters]]*'Weighted Scores'!$S$13</f>
        <v>5.5555555555555552E-2</v>
      </c>
      <c r="N13" s="37">
        <f>Table2[[#This Row],[Annual Cultural Events]]*'Weighted Scores'!$S$14</f>
        <v>5.8823529411764705E-2</v>
      </c>
      <c r="O13" s="39">
        <f>SUM(Table24[[#This Row],[Indian Population %]:[Annual Cultural Events]])</f>
        <v>39.995471250753589</v>
      </c>
      <c r="Q13" t="str">
        <v>Number of Theaters</v>
      </c>
      <c r="S13">
        <v>0.01</v>
      </c>
    </row>
    <row r="14" spans="1:19" ht="14.4" x14ac:dyDescent="0.3">
      <c r="A14" s="3" t="s">
        <v>26</v>
      </c>
      <c r="B14" s="36">
        <f>Table2[[#This Row],[Indian Population %]]*0.2</f>
        <v>3.9130434782608696</v>
      </c>
      <c r="C14" s="36"/>
      <c r="D14" s="36"/>
      <c r="E14" s="36">
        <f>Table2[[#This Row],[Total Tax Rate (%)]]*'Weighted Scores'!$S$5</f>
        <v>18.536585365853661</v>
      </c>
      <c r="F14" s="36">
        <f>Table2[[#This Row],[Crime Rate per 100k]]*'Weighted Scores'!$S$6</f>
        <v>5.094035464803869</v>
      </c>
      <c r="G14" s="36">
        <f>Table2[[#This Row],[Cost of Living Index]]*'Weighted Scores'!$S$7</f>
        <v>14.28571428571429</v>
      </c>
      <c r="H14" s="36">
        <f>Table2[[#This Row],[Job Market Score]]*'Weighted Scores'!$S$8</f>
        <v>5</v>
      </c>
      <c r="I14" s="37">
        <f>Table2[[#This Row],[Number of Parks]]*'Weighted Scores'!$S$9</f>
        <v>0.33333333333333331</v>
      </c>
      <c r="J14" s="37">
        <f>Table2[[#This Row],[Number of Museums]]*'Weighted Scores'!$S$10</f>
        <v>0.17647058823529413</v>
      </c>
      <c r="K14" s="38">
        <f>Table2[[#This Row],[Nightlife score (0-10)]]*'Weighted Scores'!$S$11</f>
        <v>1.25</v>
      </c>
      <c r="L14" s="37">
        <f>Table2[[#This Row],[Number of Restaurants]]*'Weighted Scores'!$S$12</f>
        <v>0.32374100719424459</v>
      </c>
      <c r="M14" s="37">
        <f>Table2[[#This Row],[Number of Theaters]]*'Weighted Scores'!$S$13</f>
        <v>0.1111111111111111</v>
      </c>
      <c r="N14" s="37">
        <f>Table2[[#This Row],[Annual Cultural Events]]*'Weighted Scores'!$S$14</f>
        <v>0.11764705882352941</v>
      </c>
      <c r="O14" s="39">
        <f>SUM(Table24[[#This Row],[Indian Population %]:[Annual Cultural Events]])</f>
        <v>49.141681693330213</v>
      </c>
      <c r="Q14" t="str">
        <v>Annual Cultural Events</v>
      </c>
      <c r="S14">
        <v>0.01</v>
      </c>
    </row>
    <row r="15" spans="1:19" ht="14.4" x14ac:dyDescent="0.3">
      <c r="A15" s="3" t="s">
        <v>27</v>
      </c>
      <c r="B15" s="36">
        <f>Table2[[#This Row],[Indian Population %]]*0.2</f>
        <v>1.5217391304347829</v>
      </c>
      <c r="C15" s="36"/>
      <c r="D15" s="36"/>
      <c r="E15" s="36">
        <f>Table2[[#This Row],[Total Tax Rate (%)]]*'Weighted Scores'!$S$5</f>
        <v>18.146341463414636</v>
      </c>
      <c r="F15" s="36">
        <f>Table2[[#This Row],[Crime Rate per 100k]]*'Weighted Scores'!$S$6</f>
        <v>6.3084363245566903</v>
      </c>
      <c r="G15" s="36">
        <f>Table2[[#This Row],[Cost of Living Index]]*'Weighted Scores'!$S$7</f>
        <v>5.3514739229024935</v>
      </c>
      <c r="H15" s="36">
        <f>Table2[[#This Row],[Job Market Score]]*'Weighted Scores'!$S$8</f>
        <v>3.5294117647058827</v>
      </c>
      <c r="I15" s="37">
        <f>Table2[[#This Row],[Number of Parks]]*'Weighted Scores'!$S$9</f>
        <v>7.6923076923076927E-2</v>
      </c>
      <c r="J15" s="37">
        <f>Table2[[#This Row],[Number of Museums]]*'Weighted Scores'!$S$10</f>
        <v>5.8823529411764705E-2</v>
      </c>
      <c r="K15" s="38">
        <f>Table2[[#This Row],[Nightlife score (0-10)]]*'Weighted Scores'!$S$11</f>
        <v>1.25</v>
      </c>
      <c r="L15" s="37">
        <f>Table2[[#This Row],[Number of Restaurants]]*'Weighted Scores'!$S$12</f>
        <v>0.23381294964028779</v>
      </c>
      <c r="M15" s="37">
        <f>Table2[[#This Row],[Number of Theaters]]*'Weighted Scores'!$S$13</f>
        <v>0</v>
      </c>
      <c r="N15" s="37">
        <f>Table2[[#This Row],[Annual Cultural Events]]*'Weighted Scores'!$S$14</f>
        <v>0</v>
      </c>
      <c r="O15" s="39">
        <f>SUM(Table24[[#This Row],[Indian Population %]:[Annual Cultural Events]])</f>
        <v>36.476962161989618</v>
      </c>
      <c r="S15">
        <f>SUM(S2:S14)</f>
        <v>1.0000000000000002</v>
      </c>
    </row>
    <row r="16" spans="1:19" ht="14.4" x14ac:dyDescent="0.3">
      <c r="A16" s="3" t="s">
        <v>28</v>
      </c>
      <c r="B16" s="36">
        <f>Table2[[#This Row],[Indian Population %]]*0.2</f>
        <v>3.0434782608695663</v>
      </c>
      <c r="C16" s="36"/>
      <c r="D16" s="36"/>
      <c r="E16" s="36">
        <f>Table2[[#This Row],[Total Tax Rate (%)]]*'Weighted Scores'!$S$5</f>
        <v>15.170731707317074</v>
      </c>
      <c r="F16" s="36">
        <f>Table2[[#This Row],[Crime Rate per 100k]]*'Weighted Scores'!$S$6</f>
        <v>10.263299301450832</v>
      </c>
      <c r="G16" s="36">
        <f>Table2[[#This Row],[Cost of Living Index]]*'Weighted Scores'!$S$7</f>
        <v>4.4444444444444438</v>
      </c>
      <c r="H16" s="36">
        <f>Table2[[#This Row],[Job Market Score]]*'Weighted Scores'!$S$8</f>
        <v>4.1176470588235299</v>
      </c>
      <c r="I16" s="36">
        <f>Table2[[#This Row],[Number of Parks]]*'Weighted Scores'!$S$9</f>
        <v>0.26923076923076922</v>
      </c>
      <c r="J16" s="36">
        <f>Table2[[#This Row],[Number of Museums]]*'Weighted Scores'!$S$10</f>
        <v>0.11764705882352941</v>
      </c>
      <c r="K16" s="36">
        <f>Table2[[#This Row],[Nightlife score (0-10)]]*'Weighted Scores'!$S$11</f>
        <v>1.25</v>
      </c>
      <c r="L16" s="36">
        <f>Table2[[#This Row],[Number of Restaurants]]*'Weighted Scores'!$S$12</f>
        <v>0.28776978417266191</v>
      </c>
      <c r="M16" s="36">
        <f>Table2[[#This Row],[Number of Theaters]]*'Weighted Scores'!$S$13</f>
        <v>5.5555555555555552E-2</v>
      </c>
      <c r="N16" s="36">
        <f>Table2[[#This Row],[Annual Cultural Events]]*'Weighted Scores'!$S$14</f>
        <v>5.8823529411764705E-2</v>
      </c>
      <c r="O16" s="39">
        <f>SUM(Table24[[#This Row],[Indian Population %]:[Annual Cultural Events]])</f>
        <v>39.078627470099725</v>
      </c>
    </row>
    <row r="17" spans="1:15" ht="14.4" x14ac:dyDescent="0.3">
      <c r="A17" s="3" t="s">
        <v>29</v>
      </c>
      <c r="B17" s="36">
        <f>Table2[[#This Row],[Indian Population %]]*0.2</f>
        <v>2.3913043478260874</v>
      </c>
      <c r="C17" s="36"/>
      <c r="D17" s="36"/>
      <c r="E17" s="36">
        <f>Table2[[#This Row],[Total Tax Rate (%)]]*'Weighted Scores'!$S$5</f>
        <v>15.121951219512196</v>
      </c>
      <c r="F17" s="36">
        <f>Table2[[#This Row],[Crime Rate per 100k]]*'Weighted Scores'!$S$6</f>
        <v>14.734013970983341</v>
      </c>
      <c r="G17" s="36">
        <f>Table2[[#This Row],[Cost of Living Index]]*'Weighted Scores'!$S$7</f>
        <v>0</v>
      </c>
      <c r="H17" s="36">
        <f>Table2[[#This Row],[Job Market Score]]*'Weighted Scores'!$S$8</f>
        <v>1.176470588235295</v>
      </c>
      <c r="I17" s="37">
        <f>Table2[[#This Row],[Number of Parks]]*'Weighted Scores'!$S$9</f>
        <v>1.282051282051282E-2</v>
      </c>
      <c r="J17" s="37">
        <f>Table2[[#This Row],[Number of Museums]]*'Weighted Scores'!$S$10</f>
        <v>0</v>
      </c>
      <c r="K17" s="38">
        <f>Table2[[#This Row],[Nightlife score (0-10)]]*'Weighted Scores'!$S$11</f>
        <v>1.25</v>
      </c>
      <c r="L17" s="37">
        <f>Table2[[#This Row],[Number of Restaurants]]*'Weighted Scores'!$S$12</f>
        <v>0</v>
      </c>
      <c r="M17" s="37">
        <f>Table2[[#This Row],[Number of Theaters]]*'Weighted Scores'!$S$13</f>
        <v>0</v>
      </c>
      <c r="N17" s="37">
        <f>Table2[[#This Row],[Annual Cultural Events]]*'Weighted Scores'!$S$14</f>
        <v>0</v>
      </c>
      <c r="O17" s="39">
        <f>SUM(Table24[[#This Row],[Indian Population %]:[Annual Cultural Events]])</f>
        <v>34.686560639377433</v>
      </c>
    </row>
    <row r="18" spans="1:15" ht="14.4" x14ac:dyDescent="0.3">
      <c r="A18" s="3" t="s">
        <v>30</v>
      </c>
      <c r="B18" s="36">
        <f>Table2[[#This Row],[Indian Population %]]*0.2</f>
        <v>1.6304347826086958</v>
      </c>
      <c r="C18" s="36"/>
      <c r="D18" s="36"/>
      <c r="E18" s="36">
        <f>Table2[[#This Row],[Total Tax Rate (%)]]*'Weighted Scores'!$S$5</f>
        <v>16.09756097560976</v>
      </c>
      <c r="F18" s="36">
        <f>Table2[[#This Row],[Crime Rate per 100k]]*'Weighted Scores'!$S$6</f>
        <v>2.3965609887157444</v>
      </c>
      <c r="G18" s="36">
        <f>Table2[[#This Row],[Cost of Living Index]]*'Weighted Scores'!$S$7</f>
        <v>12.517006802721088</v>
      </c>
      <c r="H18" s="36">
        <f>Table2[[#This Row],[Job Market Score]]*'Weighted Scores'!$S$8</f>
        <v>4.1176470588235299</v>
      </c>
      <c r="I18" s="37">
        <f>Table2[[#This Row],[Number of Parks]]*'Weighted Scores'!$S$9</f>
        <v>0.25641025641025639</v>
      </c>
      <c r="J18" s="37">
        <f>Table2[[#This Row],[Number of Museums]]*'Weighted Scores'!$S$10</f>
        <v>0.23529411764705882</v>
      </c>
      <c r="K18" s="38">
        <f>Table2[[#This Row],[Nightlife score (0-10)]]*'Weighted Scores'!$S$11</f>
        <v>2.5</v>
      </c>
      <c r="L18" s="37">
        <f>Table2[[#This Row],[Number of Restaurants]]*'Weighted Scores'!$S$12</f>
        <v>0.59352517985611508</v>
      </c>
      <c r="M18" s="37">
        <f>Table2[[#This Row],[Number of Theaters]]*'Weighted Scores'!$S$13</f>
        <v>0.16666666666666666</v>
      </c>
      <c r="N18" s="37">
        <f>Table2[[#This Row],[Annual Cultural Events]]*'Weighted Scores'!$S$14</f>
        <v>0.17647058823529413</v>
      </c>
      <c r="O18" s="39">
        <f>SUM(Table24[[#This Row],[Indian Population %]:[Annual Cultural Events]])</f>
        <v>40.687577417294207</v>
      </c>
    </row>
    <row r="19" spans="1:15" ht="14.4" x14ac:dyDescent="0.3">
      <c r="A19" s="3" t="s">
        <v>31</v>
      </c>
      <c r="B19" s="36">
        <f>Table2[[#This Row],[Indian Population %]]*0.2</f>
        <v>1.1956521739130437</v>
      </c>
      <c r="C19" s="36"/>
      <c r="D19" s="36"/>
      <c r="E19" s="36">
        <f>Table2[[#This Row],[Total Tax Rate (%)]]*'Weighted Scores'!$S$5</f>
        <v>16.567804878048779</v>
      </c>
      <c r="F19" s="36">
        <f>Table2[[#This Row],[Crime Rate per 100k]]*'Weighted Scores'!$S$6</f>
        <v>17.775389575497044</v>
      </c>
      <c r="G19" s="36">
        <f>Table2[[#This Row],[Cost of Living Index]]*'Weighted Scores'!$S$7</f>
        <v>1.6099773242630375</v>
      </c>
      <c r="H19" s="36">
        <f>Table2[[#This Row],[Job Market Score]]*'Weighted Scores'!$S$8</f>
        <v>1.7647058823529413</v>
      </c>
      <c r="I19" s="37">
        <f>Table2[[#This Row],[Number of Parks]]*'Weighted Scores'!$S$9</f>
        <v>7.6923076923076927E-2</v>
      </c>
      <c r="J19" s="37">
        <f>Table2[[#This Row],[Number of Museums]]*'Weighted Scores'!$S$10</f>
        <v>5.8823529411764705E-2</v>
      </c>
      <c r="K19" s="38">
        <f>Table2[[#This Row],[Nightlife score (0-10)]]*'Weighted Scores'!$S$11</f>
        <v>1.25</v>
      </c>
      <c r="L19" s="37">
        <f>Table2[[#This Row],[Number of Restaurants]]*'Weighted Scores'!$S$12</f>
        <v>0.14388489208633096</v>
      </c>
      <c r="M19" s="37">
        <f>Table2[[#This Row],[Number of Theaters]]*'Weighted Scores'!$S$13</f>
        <v>2.7777777777777776E-2</v>
      </c>
      <c r="N19" s="37">
        <f>Table2[[#This Row],[Annual Cultural Events]]*'Weighted Scores'!$S$14</f>
        <v>5.8823529411764705E-2</v>
      </c>
      <c r="O19" s="39">
        <f>SUM(Table24[[#This Row],[Indian Population %]:[Annual Cultural Events]])</f>
        <v>40.529762639685572</v>
      </c>
    </row>
    <row r="20" spans="1:15" ht="14.4" x14ac:dyDescent="0.3">
      <c r="A20" s="3" t="s">
        <v>32</v>
      </c>
      <c r="B20" s="36">
        <f>Table2[[#This Row],[Indian Population %]]*0.2</f>
        <v>1.4130434782608701</v>
      </c>
      <c r="C20" s="36"/>
      <c r="D20" s="36"/>
      <c r="E20" s="36">
        <f>Table2[[#This Row],[Total Tax Rate (%)]]*'Weighted Scores'!$S$5</f>
        <v>15.609756097560975</v>
      </c>
      <c r="F20" s="36">
        <f>Table2[[#This Row],[Crime Rate per 100k]]*'Weighted Scores'!$S$6</f>
        <v>6.2761955937667926</v>
      </c>
      <c r="G20" s="36">
        <f>Table2[[#This Row],[Cost of Living Index]]*'Weighted Scores'!$S$7</f>
        <v>8.9115646258503372</v>
      </c>
      <c r="H20" s="36">
        <f>Table2[[#This Row],[Job Market Score]]*'Weighted Scores'!$S$8</f>
        <v>4.4117647058823524</v>
      </c>
      <c r="I20" s="37">
        <f>Table2[[#This Row],[Number of Parks]]*'Weighted Scores'!$S$9</f>
        <v>0.14102564102564102</v>
      </c>
      <c r="J20" s="37">
        <f>Table2[[#This Row],[Number of Museums]]*'Weighted Scores'!$S$10</f>
        <v>0.11764705882352941</v>
      </c>
      <c r="K20" s="38">
        <f>Table2[[#This Row],[Nightlife score (0-10)]]*'Weighted Scores'!$S$11</f>
        <v>2.5</v>
      </c>
      <c r="L20" s="37">
        <f>Table2[[#This Row],[Number of Restaurants]]*'Weighted Scores'!$S$12</f>
        <v>0.23381294964028779</v>
      </c>
      <c r="M20" s="37">
        <f>Table2[[#This Row],[Number of Theaters]]*'Weighted Scores'!$S$13</f>
        <v>5.5555555555555552E-2</v>
      </c>
      <c r="N20" s="37">
        <f>Table2[[#This Row],[Annual Cultural Events]]*'Weighted Scores'!$S$14</f>
        <v>0.11764705882352941</v>
      </c>
      <c r="O20" s="39">
        <f>SUM(Table24[[#This Row],[Indian Population %]:[Annual Cultural Events]])</f>
        <v>39.788012765189876</v>
      </c>
    </row>
    <row r="21" spans="1:15" ht="14.4" x14ac:dyDescent="0.3">
      <c r="A21" s="3" t="s">
        <v>33</v>
      </c>
      <c r="B21" s="36">
        <f>Table2[[#This Row],[Indian Population %]]*0.2</f>
        <v>2.608695652173914</v>
      </c>
      <c r="C21" s="36"/>
      <c r="D21" s="36"/>
      <c r="E21" s="36">
        <f>Table2[[#This Row],[Total Tax Rate (%)]]*'Weighted Scores'!$S$5</f>
        <v>14.634146341463415</v>
      </c>
      <c r="F21" s="36">
        <f>Table2[[#This Row],[Crime Rate per 100k]]*'Weighted Scores'!$S$6</f>
        <v>3.030628694250403</v>
      </c>
      <c r="G21" s="36">
        <f>Table2[[#This Row],[Cost of Living Index]]*'Weighted Scores'!$S$7</f>
        <v>2.5396825396825378</v>
      </c>
      <c r="H21" s="36">
        <f>Table2[[#This Row],[Job Market Score]]*'Weighted Scores'!$S$8</f>
        <v>3.5294117647058827</v>
      </c>
      <c r="I21" s="37">
        <f>Table2[[#This Row],[Number of Parks]]*'Weighted Scores'!$S$9</f>
        <v>7.6923076923076927E-2</v>
      </c>
      <c r="J21" s="37">
        <f>Table2[[#This Row],[Number of Museums]]*'Weighted Scores'!$S$10</f>
        <v>5.8823529411764705E-2</v>
      </c>
      <c r="K21" s="38">
        <f>Table2[[#This Row],[Nightlife score (0-10)]]*'Weighted Scores'!$S$11</f>
        <v>1.25</v>
      </c>
      <c r="L21" s="37">
        <f>Table2[[#This Row],[Number of Restaurants]]*'Weighted Scores'!$S$12</f>
        <v>0.14388489208633096</v>
      </c>
      <c r="M21" s="37">
        <f>Table2[[#This Row],[Number of Theaters]]*'Weighted Scores'!$S$13</f>
        <v>0</v>
      </c>
      <c r="N21" s="37">
        <f>Table2[[#This Row],[Annual Cultural Events]]*'Weighted Scores'!$S$14</f>
        <v>0</v>
      </c>
      <c r="O21" s="39">
        <f>SUM(Table24[[#This Row],[Indian Population %]:[Annual Cultural Events]])</f>
        <v>27.872196490697323</v>
      </c>
    </row>
    <row r="22" spans="1:15" ht="14.4" x14ac:dyDescent="0.3">
      <c r="A22" s="3" t="s">
        <v>34</v>
      </c>
      <c r="B22" s="36">
        <f>Table2[[#This Row],[Indian Population %]]*0.2</f>
        <v>1.7391304347826091</v>
      </c>
      <c r="C22" s="36"/>
      <c r="D22" s="36"/>
      <c r="E22" s="36">
        <f>Table2[[#This Row],[Total Tax Rate (%)]]*'Weighted Scores'!$S$5</f>
        <v>13.658536585365855</v>
      </c>
      <c r="F22" s="36">
        <f>Table2[[#This Row],[Crime Rate per 100k]]*'Weighted Scores'!$S$6</f>
        <v>4.9865663621708762</v>
      </c>
      <c r="G22" s="36">
        <f>Table2[[#This Row],[Cost of Living Index]]*'Weighted Scores'!$S$7</f>
        <v>0.58956916099773116</v>
      </c>
      <c r="H22" s="36">
        <f>Table2[[#This Row],[Job Market Score]]*'Weighted Scores'!$S$8</f>
        <v>2.3529411764705888</v>
      </c>
      <c r="I22" s="37">
        <f>Table2[[#This Row],[Number of Parks]]*'Weighted Scores'!$S$9</f>
        <v>3.2051282051282048E-2</v>
      </c>
      <c r="J22" s="37">
        <f>Table2[[#This Row],[Number of Museums]]*'Weighted Scores'!$S$10</f>
        <v>2.9411764705882353E-2</v>
      </c>
      <c r="K22" s="38">
        <f>Table2[[#This Row],[Nightlife score (0-10)]]*'Weighted Scores'!$S$11</f>
        <v>1.25</v>
      </c>
      <c r="L22" s="37">
        <f>Table2[[#This Row],[Number of Restaurants]]*'Weighted Scores'!$S$12</f>
        <v>5.3956834532374098E-2</v>
      </c>
      <c r="M22" s="37">
        <f>Table2[[#This Row],[Number of Theaters]]*'Weighted Scores'!$S$13</f>
        <v>0</v>
      </c>
      <c r="N22" s="37">
        <f>Table2[[#This Row],[Annual Cultural Events]]*'Weighted Scores'!$S$14</f>
        <v>0</v>
      </c>
      <c r="O22" s="39">
        <f>SUM(Table24[[#This Row],[Indian Population %]:[Annual Cultural Events]])</f>
        <v>24.692163601077198</v>
      </c>
    </row>
    <row r="23" spans="1:15" ht="14.4" x14ac:dyDescent="0.3">
      <c r="A23" s="3" t="s">
        <v>35</v>
      </c>
      <c r="B23" s="36">
        <f>Table2[[#This Row],[Indian Population %]]*0.2</f>
        <v>1.847826086956522</v>
      </c>
      <c r="C23" s="36"/>
      <c r="D23" s="36"/>
      <c r="E23" s="36">
        <f>Table2[[#This Row],[Total Tax Rate (%)]]*'Weighted Scores'!$S$5</f>
        <v>0</v>
      </c>
      <c r="F23" s="36">
        <f>Table2[[#This Row],[Crime Rate per 100k]]*'Weighted Scores'!$S$6</f>
        <v>4.0408382590005374</v>
      </c>
      <c r="G23" s="36">
        <f>Table2[[#This Row],[Cost of Living Index]]*'Weighted Scores'!$S$7</f>
        <v>8.1859410430838988</v>
      </c>
      <c r="H23" s="36">
        <f>Table2[[#This Row],[Job Market Score]]*'Weighted Scores'!$S$8</f>
        <v>4.1176470588235299</v>
      </c>
      <c r="I23" s="37">
        <f>Table2[[#This Row],[Number of Parks]]*'Weighted Scores'!$S$9</f>
        <v>0.17307692307692307</v>
      </c>
      <c r="J23" s="37">
        <f>Table2[[#This Row],[Number of Museums]]*'Weighted Scores'!$S$10</f>
        <v>0.11764705882352941</v>
      </c>
      <c r="K23" s="38">
        <f>Table2[[#This Row],[Nightlife score (0-10)]]*'Weighted Scores'!$S$11</f>
        <v>2.5</v>
      </c>
      <c r="L23" s="37">
        <f>Table2[[#This Row],[Number of Restaurants]]*'Weighted Scores'!$S$12</f>
        <v>0.28776978417266191</v>
      </c>
      <c r="M23" s="37">
        <f>Table2[[#This Row],[Number of Theaters]]*'Weighted Scores'!$S$13</f>
        <v>5.5555555555555552E-2</v>
      </c>
      <c r="N23" s="37">
        <f>Table2[[#This Row],[Annual Cultural Events]]*'Weighted Scores'!$S$14</f>
        <v>5.8823529411764705E-2</v>
      </c>
      <c r="O23" s="39">
        <f>SUM(Table24[[#This Row],[Indian Population %]:[Annual Cultural Events]])</f>
        <v>21.385125298904924</v>
      </c>
    </row>
    <row r="24" spans="1:15" ht="14.4" x14ac:dyDescent="0.3">
      <c r="A24" s="3" t="s">
        <v>36</v>
      </c>
      <c r="B24" s="36">
        <f>Table2[[#This Row],[Indian Population %]]*0.2</f>
        <v>2.0652173913043486</v>
      </c>
      <c r="C24" s="36"/>
      <c r="D24" s="36"/>
      <c r="E24" s="36">
        <f>Table2[[#This Row],[Total Tax Rate (%)]]*'Weighted Scores'!$S$5</f>
        <v>13.170731707317074</v>
      </c>
      <c r="F24" s="36">
        <f>Table2[[#This Row],[Crime Rate per 100k]]*'Weighted Scores'!$S$6</f>
        <v>8.0709296077377761</v>
      </c>
      <c r="G24" s="36">
        <f>Table2[[#This Row],[Cost of Living Index]]*'Weighted Scores'!$S$7</f>
        <v>6.8027210884353109E-2</v>
      </c>
      <c r="H24" s="36">
        <f>Table2[[#This Row],[Job Market Score]]*'Weighted Scores'!$S$8</f>
        <v>2.6470588235294126</v>
      </c>
      <c r="I24" s="37">
        <f>Table2[[#This Row],[Number of Parks]]*'Weighted Scores'!$S$9</f>
        <v>1.282051282051282E-2</v>
      </c>
      <c r="J24" s="37">
        <f>Table2[[#This Row],[Number of Museums]]*'Weighted Scores'!$S$10</f>
        <v>0</v>
      </c>
      <c r="K24" s="38">
        <f>Table2[[#This Row],[Nightlife score (0-10)]]*'Weighted Scores'!$S$11</f>
        <v>1.25</v>
      </c>
      <c r="L24" s="37">
        <f>Table2[[#This Row],[Number of Restaurants]]*'Weighted Scores'!$S$12</f>
        <v>0</v>
      </c>
      <c r="M24" s="37">
        <f>Table2[[#This Row],[Number of Theaters]]*'Weighted Scores'!$S$13</f>
        <v>0</v>
      </c>
      <c r="N24" s="37">
        <f>Table2[[#This Row],[Annual Cultural Events]]*'Weighted Scores'!$S$14</f>
        <v>0</v>
      </c>
      <c r="O24" s="39">
        <f>SUM(Table24[[#This Row],[Indian Population %]:[Annual Cultural Events]])</f>
        <v>27.28478525359348</v>
      </c>
    </row>
    <row r="25" spans="1:15" ht="14.4" x14ac:dyDescent="0.3">
      <c r="A25" s="3" t="s">
        <v>37</v>
      </c>
      <c r="B25" s="36">
        <f>Table2[[#This Row],[Indian Population %]]*0.2</f>
        <v>8.0434782608695663</v>
      </c>
      <c r="C25" s="36"/>
      <c r="D25" s="36"/>
      <c r="E25" s="36">
        <f>Table2[[#This Row],[Total Tax Rate (%)]]*'Weighted Scores'!$S$5</f>
        <v>16.09756097560976</v>
      </c>
      <c r="F25" s="36">
        <f>Table2[[#This Row],[Crime Rate per 100k]]*'Weighted Scores'!$S$6</f>
        <v>6.0827512090274052</v>
      </c>
      <c r="G25" s="36">
        <f>Table2[[#This Row],[Cost of Living Index]]*'Weighted Scores'!$S$7</f>
        <v>6.5986394557823118</v>
      </c>
      <c r="H25" s="36">
        <f>Table2[[#This Row],[Job Market Score]]*'Weighted Scores'!$S$8</f>
        <v>3.2352941176470589</v>
      </c>
      <c r="I25" s="37">
        <f>Table2[[#This Row],[Number of Parks]]*'Weighted Scores'!$S$9</f>
        <v>0.10256410256410256</v>
      </c>
      <c r="J25" s="37">
        <f>Table2[[#This Row],[Number of Museums]]*'Weighted Scores'!$S$10</f>
        <v>5.8823529411764705E-2</v>
      </c>
      <c r="K25" s="38">
        <f>Table2[[#This Row],[Nightlife score (0-10)]]*'Weighted Scores'!$S$11</f>
        <v>0</v>
      </c>
      <c r="L25" s="37">
        <f>Table2[[#This Row],[Number of Restaurants]]*'Weighted Scores'!$S$12</f>
        <v>0.14388489208633096</v>
      </c>
      <c r="M25" s="37">
        <f>Table2[[#This Row],[Number of Theaters]]*'Weighted Scores'!$S$13</f>
        <v>0</v>
      </c>
      <c r="N25" s="37">
        <f>Table2[[#This Row],[Annual Cultural Events]]*'Weighted Scores'!$S$14</f>
        <v>0</v>
      </c>
      <c r="O25" s="39">
        <f>SUM(Table24[[#This Row],[Indian Population %]:[Annual Cultural Events]])</f>
        <v>40.362996542998303</v>
      </c>
    </row>
    <row r="26" spans="1:15" ht="14.4" x14ac:dyDescent="0.3">
      <c r="A26" s="3" t="s">
        <v>38</v>
      </c>
      <c r="B26" s="36">
        <f>Table2[[#This Row],[Indian Population %]]*0.2</f>
        <v>1.4130434782608701</v>
      </c>
      <c r="C26" s="36"/>
      <c r="D26" s="36"/>
      <c r="E26" s="36">
        <f>Table2[[#This Row],[Total Tax Rate (%)]]*'Weighted Scores'!$S$5</f>
        <v>15.31707317073171</v>
      </c>
      <c r="F26" s="36">
        <f>Table2[[#This Row],[Crime Rate per 100k]]*'Weighted Scores'!$S$6</f>
        <v>15.518538420204193</v>
      </c>
      <c r="G26" s="36">
        <f>Table2[[#This Row],[Cost of Living Index]]*'Weighted Scores'!$S$7</f>
        <v>1.2244897959183656</v>
      </c>
      <c r="H26" s="36">
        <f>Table2[[#This Row],[Job Market Score]]*'Weighted Scores'!$S$8</f>
        <v>2.9411764705882351</v>
      </c>
      <c r="I26" s="37">
        <f>Table2[[#This Row],[Number of Parks]]*'Weighted Scores'!$S$9</f>
        <v>0.10256410256410256</v>
      </c>
      <c r="J26" s="37">
        <f>Table2[[#This Row],[Number of Museums]]*'Weighted Scores'!$S$10</f>
        <v>5.8823529411764705E-2</v>
      </c>
      <c r="K26" s="38">
        <f>Table2[[#This Row],[Nightlife score (0-10)]]*'Weighted Scores'!$S$11</f>
        <v>1.25</v>
      </c>
      <c r="L26" s="37">
        <f>Table2[[#This Row],[Number of Restaurants]]*'Weighted Scores'!$S$12</f>
        <v>0.14388489208633096</v>
      </c>
      <c r="M26" s="37">
        <f>Table2[[#This Row],[Number of Theaters]]*'Weighted Scores'!$S$13</f>
        <v>2.7777777777777776E-2</v>
      </c>
      <c r="N26" s="37">
        <f>Table2[[#This Row],[Annual Cultural Events]]*'Weighted Scores'!$S$14</f>
        <v>5.8823529411764705E-2</v>
      </c>
      <c r="O26" s="39">
        <f>SUM(Table24[[#This Row],[Indian Population %]:[Annual Cultural Events]])</f>
        <v>38.056195166955121</v>
      </c>
    </row>
    <row r="27" spans="1:15" ht="14.4" x14ac:dyDescent="0.3">
      <c r="A27" s="3" t="s">
        <v>39</v>
      </c>
      <c r="B27" s="36">
        <f>Table2[[#This Row],[Indian Population %]]*0.2</f>
        <v>2.2826086956521743</v>
      </c>
      <c r="C27" s="36"/>
      <c r="D27" s="36"/>
      <c r="E27" s="36">
        <f>Table2[[#This Row],[Total Tax Rate (%)]]*'Weighted Scores'!$S$5</f>
        <v>10.731707317073173</v>
      </c>
      <c r="F27" s="36">
        <f>Table2[[#This Row],[Crime Rate per 100k]]*'Weighted Scores'!$S$6</f>
        <v>12.745835572272973</v>
      </c>
      <c r="G27" s="36">
        <f>Table2[[#This Row],[Cost of Living Index]]*'Weighted Scores'!$S$7</f>
        <v>0.58956916099773116</v>
      </c>
      <c r="H27" s="36">
        <f>Table2[[#This Row],[Job Market Score]]*'Weighted Scores'!$S$8</f>
        <v>2.0588235294117649</v>
      </c>
      <c r="I27" s="37">
        <f>Table2[[#This Row],[Number of Parks]]*'Weighted Scores'!$S$9</f>
        <v>0</v>
      </c>
      <c r="J27" s="37">
        <f>Table2[[#This Row],[Number of Museums]]*'Weighted Scores'!$S$10</f>
        <v>0</v>
      </c>
      <c r="K27" s="38">
        <f>Table2[[#This Row],[Nightlife score (0-10)]]*'Weighted Scores'!$S$11</f>
        <v>1.25</v>
      </c>
      <c r="L27" s="37">
        <f>Table2[[#This Row],[Number of Restaurants]]*'Weighted Scores'!$S$12</f>
        <v>0</v>
      </c>
      <c r="M27" s="37">
        <f>Table2[[#This Row],[Number of Theaters]]*'Weighted Scores'!$S$13</f>
        <v>0</v>
      </c>
      <c r="N27" s="37">
        <f>Table2[[#This Row],[Annual Cultural Events]]*'Weighted Scores'!$S$14</f>
        <v>0</v>
      </c>
      <c r="O27" s="39">
        <f>SUM(Table24[[#This Row],[Indian Population %]:[Annual Cultural Events]])</f>
        <v>29.658544275407813</v>
      </c>
    </row>
    <row r="28" spans="1:15" ht="14.4" x14ac:dyDescent="0.3">
      <c r="A28" s="3" t="s">
        <v>40</v>
      </c>
      <c r="B28" s="36">
        <f>Table2[[#This Row],[Indian Population %]]*0.2</f>
        <v>6.3043478260869579</v>
      </c>
      <c r="C28" s="36"/>
      <c r="D28" s="36"/>
      <c r="E28" s="36">
        <f>Table2[[#This Row],[Total Tax Rate (%)]]*'Weighted Scores'!$S$5</f>
        <v>13.658536585365855</v>
      </c>
      <c r="F28" s="36">
        <f>Table2[[#This Row],[Crime Rate per 100k]]*'Weighted Scores'!$S$6</f>
        <v>7.6732939279957009</v>
      </c>
      <c r="G28" s="36">
        <f>Table2[[#This Row],[Cost of Living Index]]*'Weighted Scores'!$S$7</f>
        <v>2.4489795918367343</v>
      </c>
      <c r="H28" s="36">
        <f>Table2[[#This Row],[Job Market Score]]*'Weighted Scores'!$S$8</f>
        <v>3.8235294117647052</v>
      </c>
      <c r="I28" s="37">
        <f>Table2[[#This Row],[Number of Parks]]*'Weighted Scores'!$S$9</f>
        <v>1.282051282051282E-2</v>
      </c>
      <c r="J28" s="37">
        <f>Table2[[#This Row],[Number of Museums]]*'Weighted Scores'!$S$10</f>
        <v>0</v>
      </c>
      <c r="K28" s="38">
        <f>Table2[[#This Row],[Nightlife score (0-10)]]*'Weighted Scores'!$S$11</f>
        <v>3.75</v>
      </c>
      <c r="L28" s="37">
        <f>Table2[[#This Row],[Number of Restaurants]]*'Weighted Scores'!$S$12</f>
        <v>5.3956834532374098E-2</v>
      </c>
      <c r="M28" s="37">
        <f>Table2[[#This Row],[Number of Theaters]]*'Weighted Scores'!$S$13</f>
        <v>0</v>
      </c>
      <c r="N28" s="37">
        <f>Table2[[#This Row],[Annual Cultural Events]]*'Weighted Scores'!$S$14</f>
        <v>0</v>
      </c>
      <c r="O28" s="39">
        <f>SUM(Table24[[#This Row],[Indian Population %]:[Annual Cultural Events]])</f>
        <v>37.725464690402838</v>
      </c>
    </row>
    <row r="29" spans="1:15" ht="14.4" x14ac:dyDescent="0.3">
      <c r="A29" s="3" t="s">
        <v>41</v>
      </c>
      <c r="B29" s="36">
        <f>Table2[[#This Row],[Indian Population %]]*0.2</f>
        <v>1.304347826086957</v>
      </c>
      <c r="C29" s="36"/>
      <c r="D29" s="36"/>
      <c r="E29" s="36">
        <f>Table2[[#This Row],[Total Tax Rate (%)]]*'Weighted Scores'!$S$5</f>
        <v>13.658536585365855</v>
      </c>
      <c r="F29" s="36">
        <f>Table2[[#This Row],[Crime Rate per 100k]]*'Weighted Scores'!$S$6</f>
        <v>12.101020956475013</v>
      </c>
      <c r="G29" s="36">
        <f>Table2[[#This Row],[Cost of Living Index]]*'Weighted Scores'!$S$7</f>
        <v>0.92970521541950013</v>
      </c>
      <c r="H29" s="36">
        <f>Table2[[#This Row],[Job Market Score]]*'Weighted Scores'!$S$8</f>
        <v>2.9411764705882351</v>
      </c>
      <c r="I29" s="37">
        <f>Table2[[#This Row],[Number of Parks]]*'Weighted Scores'!$S$9</f>
        <v>8.9743589743589744E-2</v>
      </c>
      <c r="J29" s="37">
        <f>Table2[[#This Row],[Number of Museums]]*'Weighted Scores'!$S$10</f>
        <v>2.9411764705882353E-2</v>
      </c>
      <c r="K29" s="38">
        <f>Table2[[#This Row],[Nightlife score (0-10)]]*'Weighted Scores'!$S$11</f>
        <v>1.25</v>
      </c>
      <c r="L29" s="37">
        <f>Table2[[#This Row],[Number of Restaurants]]*'Weighted Scores'!$S$12</f>
        <v>0.1079136690647482</v>
      </c>
      <c r="M29" s="37">
        <f>Table2[[#This Row],[Number of Theaters]]*'Weighted Scores'!$S$13</f>
        <v>2.7777777777777776E-2</v>
      </c>
      <c r="N29" s="37">
        <f>Table2[[#This Row],[Annual Cultural Events]]*'Weighted Scores'!$S$14</f>
        <v>5.8823529411764705E-2</v>
      </c>
      <c r="O29" s="39">
        <f>SUM(Table24[[#This Row],[Indian Population %]:[Annual Cultural Events]])</f>
        <v>32.49845738463933</v>
      </c>
    </row>
    <row r="30" spans="1:15" ht="14.4" x14ac:dyDescent="0.3">
      <c r="A30" s="3" t="s">
        <v>42</v>
      </c>
      <c r="B30" s="36">
        <f>Table2[[#This Row],[Indian Population %]]*0.2</f>
        <v>0.43478260869565233</v>
      </c>
      <c r="C30" s="36"/>
      <c r="D30" s="36"/>
      <c r="E30" s="36">
        <f>Table2[[#This Row],[Total Tax Rate (%)]]*'Weighted Scores'!$S$5</f>
        <v>15.853658536585366</v>
      </c>
      <c r="F30" s="36">
        <f>Table2[[#This Row],[Crime Rate per 100k]]*'Weighted Scores'!$S$6</f>
        <v>6.0397635679742088</v>
      </c>
      <c r="G30" s="36">
        <f>Table2[[#This Row],[Cost of Living Index]]*'Weighted Scores'!$S$7</f>
        <v>1.337868480725622</v>
      </c>
      <c r="H30" s="36">
        <f>Table2[[#This Row],[Job Market Score]]*'Weighted Scores'!$S$8</f>
        <v>3.5294117647058827</v>
      </c>
      <c r="I30" s="37">
        <f>Table2[[#This Row],[Number of Parks]]*'Weighted Scores'!$S$9</f>
        <v>0.14102564102564102</v>
      </c>
      <c r="J30" s="37">
        <f>Table2[[#This Row],[Number of Museums]]*'Weighted Scores'!$S$10</f>
        <v>0.11764705882352941</v>
      </c>
      <c r="K30" s="38">
        <f>Table2[[#This Row],[Nightlife score (0-10)]]*'Weighted Scores'!$S$11</f>
        <v>1.25</v>
      </c>
      <c r="L30" s="37">
        <f>Table2[[#This Row],[Number of Restaurants]]*'Weighted Scores'!$S$12</f>
        <v>0.23381294964028779</v>
      </c>
      <c r="M30" s="37">
        <f>Table2[[#This Row],[Number of Theaters]]*'Weighted Scores'!$S$13</f>
        <v>5.5555555555555552E-2</v>
      </c>
      <c r="N30" s="37">
        <f>Table2[[#This Row],[Annual Cultural Events]]*'Weighted Scores'!$S$14</f>
        <v>5.8823529411764705E-2</v>
      </c>
      <c r="O30" s="39">
        <f>SUM(Table24[[#This Row],[Indian Population %]:[Annual Cultural Events]])</f>
        <v>29.052349693143515</v>
      </c>
    </row>
    <row r="31" spans="1:15" ht="14.4" x14ac:dyDescent="0.3">
      <c r="A31" s="3" t="s">
        <v>43</v>
      </c>
      <c r="B31" s="36">
        <f>Table2[[#This Row],[Indian Population %]]*0.2</f>
        <v>0</v>
      </c>
      <c r="C31" s="36"/>
      <c r="D31" s="36"/>
      <c r="E31" s="36">
        <f>Table2[[#This Row],[Total Tax Rate (%)]]*'Weighted Scores'!$S$5</f>
        <v>12.292682926829269</v>
      </c>
      <c r="F31" s="36">
        <f>Table2[[#This Row],[Crime Rate per 100k]]*'Weighted Scores'!$S$6</f>
        <v>0</v>
      </c>
      <c r="G31" s="36">
        <f>Table2[[#This Row],[Cost of Living Index]]*'Weighted Scores'!$S$7</f>
        <v>2.8571428571428568</v>
      </c>
      <c r="H31" s="36">
        <f>Table2[[#This Row],[Job Market Score]]*'Weighted Scores'!$S$8</f>
        <v>3.2352941176470589</v>
      </c>
      <c r="I31" s="37">
        <f>Table2[[#This Row],[Number of Parks]]*'Weighted Scores'!$S$9</f>
        <v>5.128205128205128E-2</v>
      </c>
      <c r="J31" s="37">
        <f>Table2[[#This Row],[Number of Museums]]*'Weighted Scores'!$S$10</f>
        <v>0</v>
      </c>
      <c r="K31" s="38">
        <f>Table2[[#This Row],[Nightlife score (0-10)]]*'Weighted Scores'!$S$11</f>
        <v>0</v>
      </c>
      <c r="L31" s="37">
        <f>Table2[[#This Row],[Number of Restaurants]]*'Weighted Scores'!$S$12</f>
        <v>5.3956834532374098E-2</v>
      </c>
      <c r="M31" s="37">
        <f>Table2[[#This Row],[Number of Theaters]]*'Weighted Scores'!$S$13</f>
        <v>0</v>
      </c>
      <c r="N31" s="37">
        <f>Table2[[#This Row],[Annual Cultural Events]]*'Weighted Scores'!$S$14</f>
        <v>0</v>
      </c>
      <c r="O31" s="39">
        <f>SUM(Table24[[#This Row],[Indian Population %]:[Annual Cultural Events]])</f>
        <v>18.49035878743361</v>
      </c>
    </row>
  </sheetData>
  <mergeCells count="1">
    <mergeCell ref="Q1:S1"/>
  </mergeCells>
  <conditionalFormatting sqref="O2:O31">
    <cfRule type="colorScale" priority="1">
      <colorScale>
        <cfvo type="min"/>
        <cfvo type="percentile" val="50"/>
        <cfvo type="max"/>
        <color rgb="FFF8696B"/>
        <color rgb="FFFCFCFF"/>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B9A02-ED69-4EC4-86E1-4B68E9D88DFE}">
  <sheetPr codeName="Sheet81">
    <tabColor rgb="FF0070C0"/>
    <pageSetUpPr autoPageBreaks="0"/>
  </sheetPr>
  <dimension ref="A1:AW58"/>
  <sheetViews>
    <sheetView showGridLines="0" topLeftCell="A2" zoomScale="54" zoomScaleNormal="115" workbookViewId="0">
      <selection activeCell="AB27" sqref="AB27:AD28"/>
    </sheetView>
  </sheetViews>
  <sheetFormatPr defaultColWidth="8.88671875" defaultRowHeight="16.8" x14ac:dyDescent="0.4"/>
  <cols>
    <col min="1" max="4" width="8.88671875" style="42"/>
    <col min="5" max="5" width="20.21875" style="42" bestFit="1" customWidth="1"/>
    <col min="6" max="6" width="9.77734375" style="42" customWidth="1"/>
    <col min="7" max="19" width="8.88671875" style="42"/>
    <col min="20" max="21" width="10.6640625" style="42" customWidth="1"/>
    <col min="22" max="24" width="8.88671875" style="42"/>
    <col min="25" max="25" width="10.33203125" style="42" customWidth="1"/>
    <col min="26" max="26" width="8.88671875" style="42"/>
    <col min="27" max="27" width="9" style="42" bestFit="1" customWidth="1"/>
    <col min="28" max="29" width="8.88671875" style="42"/>
    <col min="30" max="30" width="9" style="42" bestFit="1" customWidth="1"/>
    <col min="31" max="32" width="8.88671875" style="42"/>
    <col min="33" max="33" width="9.5546875" style="42" bestFit="1" customWidth="1"/>
    <col min="34" max="16384" width="8.88671875" style="42"/>
  </cols>
  <sheetData>
    <row r="1" spans="1:49" x14ac:dyDescent="0.4">
      <c r="A1" s="48"/>
      <c r="B1" s="48"/>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row>
    <row r="2" spans="1:49" x14ac:dyDescent="0.4">
      <c r="A2" s="48"/>
      <c r="B2" s="48"/>
      <c r="C2" s="48"/>
      <c r="D2" s="48"/>
      <c r="E2" s="48"/>
      <c r="F2" s="48"/>
      <c r="G2" s="48"/>
      <c r="H2" s="48"/>
      <c r="I2" s="48"/>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row>
    <row r="3" spans="1:49" x14ac:dyDescent="0.4">
      <c r="A3" s="48"/>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row>
    <row r="4" spans="1:49" x14ac:dyDescent="0.4">
      <c r="A4" s="48"/>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row>
    <row r="5" spans="1:49" x14ac:dyDescent="0.4">
      <c r="A5" s="48"/>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row>
    <row r="6" spans="1:49" x14ac:dyDescent="0.4">
      <c r="A6" s="48"/>
      <c r="B6" s="48"/>
      <c r="C6" s="48"/>
      <c r="D6" s="4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row>
    <row r="7" spans="1:49" ht="17.399999999999999" thickBot="1" x14ac:dyDescent="0.45">
      <c r="A7" s="48"/>
      <c r="B7" s="48"/>
      <c r="C7" s="48"/>
      <c r="D7" s="48"/>
      <c r="E7" s="48"/>
      <c r="F7" s="48"/>
      <c r="G7" s="48"/>
      <c r="H7" s="48"/>
      <c r="I7" s="48"/>
      <c r="J7" s="47"/>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row>
    <row r="8" spans="1:49" ht="33" thickBot="1" x14ac:dyDescent="0.75">
      <c r="A8" s="48"/>
      <c r="B8" s="48"/>
      <c r="C8" s="48"/>
      <c r="D8" s="48"/>
      <c r="E8" s="48"/>
      <c r="F8" s="48"/>
      <c r="G8" s="48"/>
      <c r="H8" s="48"/>
      <c r="I8" s="48"/>
      <c r="J8" s="47"/>
      <c r="K8" s="48"/>
      <c r="L8" s="48"/>
      <c r="M8" s="48"/>
      <c r="N8" s="48"/>
      <c r="O8" s="48"/>
      <c r="P8" s="48"/>
      <c r="Q8" s="48"/>
      <c r="R8" s="48"/>
      <c r="S8" s="48"/>
      <c r="T8" s="48"/>
      <c r="U8" s="48"/>
      <c r="V8" s="48"/>
      <c r="W8" s="48"/>
      <c r="X8" s="48"/>
      <c r="Y8" s="96" t="s">
        <v>95</v>
      </c>
      <c r="Z8" s="97"/>
      <c r="AA8" s="97"/>
      <c r="AB8" s="97"/>
      <c r="AC8" s="97"/>
      <c r="AD8" s="97"/>
      <c r="AE8" s="97"/>
      <c r="AF8" s="98"/>
      <c r="AG8" s="99" t="s">
        <v>75</v>
      </c>
      <c r="AH8" s="100"/>
      <c r="AI8" s="100"/>
      <c r="AJ8" s="100"/>
      <c r="AK8" s="100"/>
      <c r="AL8" s="100"/>
      <c r="AM8" s="101"/>
      <c r="AN8" s="48"/>
      <c r="AO8" s="48"/>
      <c r="AP8" s="48"/>
      <c r="AQ8" s="48"/>
      <c r="AR8" s="48"/>
      <c r="AS8" s="48"/>
      <c r="AT8" s="48"/>
      <c r="AU8" s="48"/>
      <c r="AV8" s="48"/>
      <c r="AW8" s="48"/>
    </row>
    <row r="9" spans="1:49" ht="16.8" customHeight="1" x14ac:dyDescent="0.4">
      <c r="A9" s="48"/>
      <c r="B9" s="48"/>
      <c r="C9" s="48"/>
      <c r="D9" s="48"/>
      <c r="E9" s="48"/>
      <c r="F9" s="48"/>
      <c r="G9" s="48"/>
      <c r="H9" s="48"/>
      <c r="I9" s="48"/>
      <c r="J9" s="47"/>
      <c r="K9" s="48"/>
      <c r="L9" s="48"/>
      <c r="M9" s="48"/>
      <c r="N9" s="48"/>
      <c r="O9" s="48"/>
      <c r="P9" s="48"/>
      <c r="Q9" s="48"/>
      <c r="R9" s="48"/>
      <c r="S9" s="48"/>
      <c r="T9" s="48"/>
      <c r="U9" s="48"/>
      <c r="V9" s="48"/>
      <c r="W9" s="48"/>
      <c r="X9" s="48"/>
      <c r="Y9" s="92" t="s">
        <v>17</v>
      </c>
      <c r="Z9" s="93"/>
      <c r="AA9" s="93"/>
      <c r="AB9" s="93"/>
      <c r="AC9" s="93"/>
      <c r="AD9" s="93"/>
      <c r="AE9" s="93"/>
      <c r="AF9" s="93"/>
      <c r="AG9" s="102">
        <f>VLOOKUP(Y9,'Weighted Scores'!A1:O31,15,FALSE)</f>
        <v>54.769373594465236</v>
      </c>
      <c r="AH9" s="103"/>
      <c r="AI9" s="103"/>
      <c r="AJ9" s="103"/>
      <c r="AK9" s="103"/>
      <c r="AL9" s="103"/>
      <c r="AM9" s="104"/>
      <c r="AN9" s="48"/>
      <c r="AO9" s="48"/>
      <c r="AP9" s="48"/>
      <c r="AQ9" s="48"/>
      <c r="AR9" s="48"/>
      <c r="AS9" s="48"/>
      <c r="AT9" s="48"/>
      <c r="AU9" s="48"/>
      <c r="AV9" s="48"/>
      <c r="AW9" s="48"/>
    </row>
    <row r="10" spans="1:49" ht="16.8" customHeight="1" x14ac:dyDescent="0.4">
      <c r="A10" s="48"/>
      <c r="B10" s="48"/>
      <c r="C10" s="48"/>
      <c r="D10" s="48"/>
      <c r="E10" s="48"/>
      <c r="F10" s="48"/>
      <c r="G10" s="48"/>
      <c r="H10" s="48"/>
      <c r="I10" s="48"/>
      <c r="J10" s="47"/>
      <c r="K10" s="48"/>
      <c r="L10" s="48"/>
      <c r="M10" s="48"/>
      <c r="N10" s="48"/>
      <c r="O10" s="48"/>
      <c r="P10" s="48"/>
      <c r="Q10" s="48"/>
      <c r="R10" s="48"/>
      <c r="S10" s="48"/>
      <c r="T10" s="48"/>
      <c r="U10" s="48"/>
      <c r="V10" s="48" t="str">
        <f>'top 5 Data'!B2</f>
        <v>San Francisco</v>
      </c>
      <c r="W10" s="48"/>
      <c r="X10" s="48"/>
      <c r="Y10" s="92"/>
      <c r="Z10" s="93"/>
      <c r="AA10" s="93"/>
      <c r="AB10" s="93"/>
      <c r="AC10" s="93"/>
      <c r="AD10" s="93"/>
      <c r="AE10" s="93"/>
      <c r="AF10" s="93"/>
      <c r="AG10" s="105"/>
      <c r="AH10" s="106"/>
      <c r="AI10" s="106"/>
      <c r="AJ10" s="106"/>
      <c r="AK10" s="106"/>
      <c r="AL10" s="106"/>
      <c r="AM10" s="107"/>
      <c r="AN10" s="48"/>
      <c r="AO10" s="48"/>
      <c r="AP10" s="48"/>
      <c r="AQ10" s="48"/>
      <c r="AR10" s="48"/>
      <c r="AS10" s="48"/>
      <c r="AT10" s="48"/>
      <c r="AU10" s="48"/>
      <c r="AV10" s="48"/>
      <c r="AW10" s="48"/>
    </row>
    <row r="11" spans="1:49" ht="16.8" customHeight="1" x14ac:dyDescent="0.4">
      <c r="A11" s="48"/>
      <c r="B11" s="48"/>
      <c r="C11" s="48"/>
      <c r="D11" s="48"/>
      <c r="E11" s="48"/>
      <c r="F11" s="48"/>
      <c r="G11" s="48"/>
      <c r="H11" s="48"/>
      <c r="I11" s="48"/>
      <c r="J11" s="47"/>
      <c r="K11" s="48"/>
      <c r="L11" s="48"/>
      <c r="M11" s="48"/>
      <c r="N11" s="48"/>
      <c r="O11" s="48"/>
      <c r="P11" s="48"/>
      <c r="Q11" s="48"/>
      <c r="R11" s="48"/>
      <c r="S11" s="48"/>
      <c r="T11" s="48"/>
      <c r="U11" s="48"/>
      <c r="V11" s="48"/>
      <c r="W11" s="48"/>
      <c r="X11" s="48"/>
      <c r="Y11" s="92"/>
      <c r="Z11" s="93"/>
      <c r="AA11" s="93"/>
      <c r="AB11" s="93"/>
      <c r="AC11" s="93"/>
      <c r="AD11" s="93"/>
      <c r="AE11" s="93"/>
      <c r="AF11" s="93"/>
      <c r="AG11" s="105"/>
      <c r="AH11" s="106"/>
      <c r="AI11" s="106"/>
      <c r="AJ11" s="106"/>
      <c r="AK11" s="106"/>
      <c r="AL11" s="106"/>
      <c r="AM11" s="107"/>
      <c r="AN11" s="48"/>
      <c r="AO11" s="48"/>
      <c r="AP11" s="48"/>
      <c r="AQ11" s="48"/>
      <c r="AR11" s="48"/>
      <c r="AS11" s="48"/>
      <c r="AT11" s="48"/>
      <c r="AU11" s="48"/>
      <c r="AV11" s="48"/>
      <c r="AW11" s="48"/>
    </row>
    <row r="12" spans="1:49" ht="16.8" customHeight="1" x14ac:dyDescent="0.4">
      <c r="A12" s="48"/>
      <c r="B12" s="48"/>
      <c r="C12" s="48"/>
      <c r="D12" s="48"/>
      <c r="E12" s="48"/>
      <c r="F12" s="48"/>
      <c r="G12" s="48"/>
      <c r="H12" s="48"/>
      <c r="I12" s="48"/>
      <c r="J12" s="47"/>
      <c r="K12" s="48"/>
      <c r="L12" s="48"/>
      <c r="M12" s="48"/>
      <c r="N12" s="48"/>
      <c r="O12" s="48"/>
      <c r="P12" s="48"/>
      <c r="Q12" s="48"/>
      <c r="R12" s="48"/>
      <c r="S12" s="48"/>
      <c r="T12" s="48"/>
      <c r="U12" s="48"/>
      <c r="V12" s="48"/>
      <c r="W12" s="48"/>
      <c r="X12" s="48"/>
      <c r="Y12" s="92"/>
      <c r="Z12" s="93"/>
      <c r="AA12" s="93"/>
      <c r="AB12" s="93"/>
      <c r="AC12" s="93"/>
      <c r="AD12" s="93"/>
      <c r="AE12" s="93"/>
      <c r="AF12" s="93"/>
      <c r="AG12" s="105"/>
      <c r="AH12" s="106"/>
      <c r="AI12" s="106"/>
      <c r="AJ12" s="106"/>
      <c r="AK12" s="106"/>
      <c r="AL12" s="106"/>
      <c r="AM12" s="107"/>
      <c r="AN12" s="48"/>
      <c r="AO12" s="48"/>
      <c r="AP12" s="48"/>
      <c r="AQ12" s="48"/>
      <c r="AR12" s="48"/>
      <c r="AS12" s="48"/>
      <c r="AT12" s="48"/>
      <c r="AU12" s="48"/>
      <c r="AV12" s="48"/>
      <c r="AW12" s="48"/>
    </row>
    <row r="13" spans="1:49" ht="16.8" customHeight="1" x14ac:dyDescent="0.4">
      <c r="A13" s="48"/>
      <c r="B13" s="48"/>
      <c r="C13" s="48"/>
      <c r="D13" s="48"/>
      <c r="E13" s="48"/>
      <c r="F13" s="48"/>
      <c r="G13" s="48"/>
      <c r="H13" s="48"/>
      <c r="I13" s="48"/>
      <c r="J13" s="47"/>
      <c r="K13" s="48"/>
      <c r="L13" s="48"/>
      <c r="M13" s="48"/>
      <c r="N13" s="48"/>
      <c r="O13" s="48"/>
      <c r="P13" s="48"/>
      <c r="Q13" s="48"/>
      <c r="R13" s="48"/>
      <c r="S13" s="48"/>
      <c r="T13" s="48"/>
      <c r="U13" s="48"/>
      <c r="V13" s="48" t="str">
        <f>'top 5 Data'!F3</f>
        <v>New York</v>
      </c>
      <c r="W13" s="48"/>
      <c r="X13" s="48"/>
      <c r="Y13" s="92"/>
      <c r="Z13" s="93"/>
      <c r="AA13" s="93"/>
      <c r="AB13" s="93"/>
      <c r="AC13" s="93"/>
      <c r="AD13" s="93"/>
      <c r="AE13" s="93"/>
      <c r="AF13" s="93"/>
      <c r="AG13" s="105"/>
      <c r="AH13" s="106"/>
      <c r="AI13" s="106"/>
      <c r="AJ13" s="106"/>
      <c r="AK13" s="106"/>
      <c r="AL13" s="106"/>
      <c r="AM13" s="107"/>
      <c r="AN13" s="48"/>
      <c r="AO13" s="48"/>
      <c r="AP13" s="48"/>
      <c r="AQ13" s="48"/>
      <c r="AR13" s="48"/>
      <c r="AS13" s="48"/>
      <c r="AT13" s="48"/>
      <c r="AU13" s="48"/>
      <c r="AV13" s="48"/>
      <c r="AW13" s="48"/>
    </row>
    <row r="14" spans="1:49" ht="16.8" customHeight="1" x14ac:dyDescent="0.4">
      <c r="A14" s="48"/>
      <c r="B14" s="48"/>
      <c r="C14" s="48"/>
      <c r="D14" s="48"/>
      <c r="E14" s="48"/>
      <c r="F14" s="48"/>
      <c r="G14" s="48"/>
      <c r="H14" s="48"/>
      <c r="I14" s="48"/>
      <c r="J14" s="47"/>
      <c r="K14" s="48"/>
      <c r="L14" s="48"/>
      <c r="M14" s="48"/>
      <c r="N14" s="48"/>
      <c r="O14" s="48"/>
      <c r="P14" s="48"/>
      <c r="Q14" s="48"/>
      <c r="R14" s="48"/>
      <c r="S14" s="48"/>
      <c r="T14" s="48"/>
      <c r="U14" s="48"/>
      <c r="V14" s="48"/>
      <c r="W14" s="48"/>
      <c r="X14" s="48"/>
      <c r="Y14" s="92"/>
      <c r="Z14" s="93"/>
      <c r="AA14" s="93"/>
      <c r="AB14" s="93"/>
      <c r="AC14" s="93"/>
      <c r="AD14" s="93"/>
      <c r="AE14" s="93"/>
      <c r="AF14" s="93"/>
      <c r="AG14" s="105"/>
      <c r="AH14" s="106"/>
      <c r="AI14" s="106"/>
      <c r="AJ14" s="106"/>
      <c r="AK14" s="106"/>
      <c r="AL14" s="106"/>
      <c r="AM14" s="107"/>
      <c r="AN14" s="48"/>
      <c r="AO14" s="48"/>
      <c r="AP14" s="48"/>
      <c r="AQ14" s="48"/>
      <c r="AR14" s="48"/>
      <c r="AS14" s="48"/>
      <c r="AT14" s="48"/>
      <c r="AU14" s="48"/>
      <c r="AV14" s="48"/>
      <c r="AW14" s="48"/>
    </row>
    <row r="15" spans="1:49" ht="16.8" customHeight="1" x14ac:dyDescent="0.4">
      <c r="A15" s="48"/>
      <c r="B15" s="48"/>
      <c r="C15" s="48"/>
      <c r="D15" s="48"/>
      <c r="E15" s="48"/>
      <c r="F15" s="48"/>
      <c r="G15" s="48"/>
      <c r="H15" s="48"/>
      <c r="I15" s="48"/>
      <c r="J15" s="47"/>
      <c r="K15" s="48"/>
      <c r="L15" s="48"/>
      <c r="M15" s="48"/>
      <c r="N15" s="48"/>
      <c r="O15" s="48"/>
      <c r="P15" s="48"/>
      <c r="Q15" s="48"/>
      <c r="R15" s="48"/>
      <c r="S15" s="48"/>
      <c r="T15" s="48"/>
      <c r="U15" s="48"/>
      <c r="V15" s="48"/>
      <c r="W15" s="48"/>
      <c r="X15" s="48"/>
      <c r="Y15" s="92"/>
      <c r="Z15" s="93"/>
      <c r="AA15" s="93"/>
      <c r="AB15" s="93"/>
      <c r="AC15" s="93"/>
      <c r="AD15" s="93"/>
      <c r="AE15" s="93"/>
      <c r="AF15" s="93"/>
      <c r="AG15" s="105"/>
      <c r="AH15" s="106"/>
      <c r="AI15" s="106"/>
      <c r="AJ15" s="106"/>
      <c r="AK15" s="106"/>
      <c r="AL15" s="106"/>
      <c r="AM15" s="107"/>
      <c r="AN15" s="48"/>
      <c r="AO15" s="48"/>
      <c r="AP15" s="48"/>
      <c r="AQ15" s="48"/>
      <c r="AR15" s="48"/>
      <c r="AS15" s="48"/>
      <c r="AT15" s="48"/>
      <c r="AU15" s="48"/>
      <c r="AV15" s="48"/>
      <c r="AW15" s="48"/>
    </row>
    <row r="16" spans="1:49" ht="16.8" customHeight="1" x14ac:dyDescent="0.4">
      <c r="A16" s="48"/>
      <c r="B16" s="48"/>
      <c r="C16" s="48"/>
      <c r="D16" s="48"/>
      <c r="E16" s="48"/>
      <c r="F16" s="48"/>
      <c r="G16" s="48"/>
      <c r="H16" s="48"/>
      <c r="I16" s="48"/>
      <c r="J16" s="47"/>
      <c r="K16" s="48"/>
      <c r="L16" s="48"/>
      <c r="M16" s="48"/>
      <c r="N16" s="48"/>
      <c r="O16" s="48"/>
      <c r="P16" s="48"/>
      <c r="Q16" s="48"/>
      <c r="R16" s="48"/>
      <c r="S16" s="48"/>
      <c r="T16" s="48"/>
      <c r="U16" s="48"/>
      <c r="V16" s="48" t="str">
        <f>'top 5 Data'!F4</f>
        <v>Chicago</v>
      </c>
      <c r="W16" s="48"/>
      <c r="X16" s="48"/>
      <c r="Y16" s="92"/>
      <c r="Z16" s="93"/>
      <c r="AA16" s="93"/>
      <c r="AB16" s="93"/>
      <c r="AC16" s="93"/>
      <c r="AD16" s="93"/>
      <c r="AE16" s="93"/>
      <c r="AF16" s="93"/>
      <c r="AG16" s="105"/>
      <c r="AH16" s="106"/>
      <c r="AI16" s="106"/>
      <c r="AJ16" s="106"/>
      <c r="AK16" s="106"/>
      <c r="AL16" s="106"/>
      <c r="AM16" s="107"/>
      <c r="AN16" s="48"/>
      <c r="AO16" s="48"/>
      <c r="AP16" s="48"/>
      <c r="AQ16" s="48"/>
      <c r="AR16" s="48"/>
      <c r="AS16" s="48"/>
      <c r="AT16" s="48"/>
      <c r="AU16" s="48"/>
      <c r="AV16" s="48"/>
      <c r="AW16" s="48"/>
    </row>
    <row r="17" spans="1:49" ht="16.8" customHeight="1" x14ac:dyDescent="0.4">
      <c r="A17" s="48"/>
      <c r="B17" s="48"/>
      <c r="C17" s="48"/>
      <c r="D17" s="48"/>
      <c r="E17" s="48"/>
      <c r="F17" s="48"/>
      <c r="G17" s="48"/>
      <c r="H17" s="48"/>
      <c r="I17" s="48"/>
      <c r="J17" s="47"/>
      <c r="K17" s="48"/>
      <c r="L17" s="48"/>
      <c r="M17" s="48"/>
      <c r="N17" s="48"/>
      <c r="O17" s="48"/>
      <c r="P17" s="48"/>
      <c r="Q17" s="48"/>
      <c r="R17" s="48"/>
      <c r="S17" s="48"/>
      <c r="T17" s="48"/>
      <c r="U17" s="48"/>
      <c r="V17" s="48"/>
      <c r="W17" s="48"/>
      <c r="X17" s="48"/>
      <c r="Y17" s="92"/>
      <c r="Z17" s="93"/>
      <c r="AA17" s="93"/>
      <c r="AB17" s="93"/>
      <c r="AC17" s="93"/>
      <c r="AD17" s="93"/>
      <c r="AE17" s="93"/>
      <c r="AF17" s="93"/>
      <c r="AG17" s="105"/>
      <c r="AH17" s="106"/>
      <c r="AI17" s="106"/>
      <c r="AJ17" s="106"/>
      <c r="AK17" s="106"/>
      <c r="AL17" s="106"/>
      <c r="AM17" s="107"/>
      <c r="AN17" s="48"/>
      <c r="AO17" s="48"/>
      <c r="AP17" s="48"/>
      <c r="AQ17" s="48"/>
      <c r="AR17" s="48"/>
      <c r="AS17" s="48"/>
      <c r="AT17" s="48"/>
      <c r="AU17" s="48"/>
      <c r="AV17" s="48"/>
      <c r="AW17" s="48"/>
    </row>
    <row r="18" spans="1:49" ht="16.8" customHeight="1" x14ac:dyDescent="0.4">
      <c r="A18" s="48"/>
      <c r="B18" s="48"/>
      <c r="C18" s="48"/>
      <c r="D18" s="48"/>
      <c r="E18" s="48"/>
      <c r="F18" s="48"/>
      <c r="G18" s="48"/>
      <c r="H18" s="48"/>
      <c r="I18" s="48"/>
      <c r="J18" s="47"/>
      <c r="K18" s="48"/>
      <c r="L18" s="48"/>
      <c r="M18" s="48"/>
      <c r="N18" s="48"/>
      <c r="O18" s="48"/>
      <c r="P18" s="48"/>
      <c r="Q18" s="48"/>
      <c r="R18" s="48"/>
      <c r="S18" s="48"/>
      <c r="T18" s="48"/>
      <c r="U18" s="48"/>
      <c r="V18" s="48"/>
      <c r="W18" s="48"/>
      <c r="X18" s="48"/>
      <c r="Y18" s="92"/>
      <c r="Z18" s="93"/>
      <c r="AA18" s="93"/>
      <c r="AB18" s="93"/>
      <c r="AC18" s="93"/>
      <c r="AD18" s="93"/>
      <c r="AE18" s="93"/>
      <c r="AF18" s="93"/>
      <c r="AG18" s="105"/>
      <c r="AH18" s="106"/>
      <c r="AI18" s="106"/>
      <c r="AJ18" s="106"/>
      <c r="AK18" s="106"/>
      <c r="AL18" s="106"/>
      <c r="AM18" s="107"/>
      <c r="AN18" s="48"/>
      <c r="AO18" s="48"/>
      <c r="AP18" s="48"/>
      <c r="AQ18" s="48"/>
      <c r="AR18" s="48"/>
      <c r="AS18" s="48"/>
      <c r="AT18" s="48"/>
      <c r="AU18" s="48"/>
      <c r="AV18" s="48"/>
      <c r="AW18" s="48"/>
    </row>
    <row r="19" spans="1:49" ht="16.8" customHeight="1" x14ac:dyDescent="0.4">
      <c r="A19" s="48"/>
      <c r="B19" s="48"/>
      <c r="C19" s="48"/>
      <c r="D19" s="48"/>
      <c r="E19" s="48"/>
      <c r="F19" s="48"/>
      <c r="G19" s="48"/>
      <c r="H19" s="48"/>
      <c r="I19" s="48"/>
      <c r="J19" s="48"/>
      <c r="K19" s="48"/>
      <c r="L19" s="48"/>
      <c r="M19" s="48"/>
      <c r="N19" s="48"/>
      <c r="O19" s="48"/>
      <c r="P19" s="48"/>
      <c r="Q19" s="48"/>
      <c r="R19" s="48"/>
      <c r="S19" s="48"/>
      <c r="T19" s="48"/>
      <c r="U19" s="48"/>
      <c r="V19" s="48" t="str">
        <f>'top 5 Data'!F5</f>
        <v>Washington</v>
      </c>
      <c r="W19" s="48"/>
      <c r="X19" s="48"/>
      <c r="Y19" s="92"/>
      <c r="Z19" s="93"/>
      <c r="AA19" s="93"/>
      <c r="AB19" s="93"/>
      <c r="AC19" s="93"/>
      <c r="AD19" s="93"/>
      <c r="AE19" s="93"/>
      <c r="AF19" s="93"/>
      <c r="AG19" s="105"/>
      <c r="AH19" s="106"/>
      <c r="AI19" s="106"/>
      <c r="AJ19" s="106"/>
      <c r="AK19" s="106"/>
      <c r="AL19" s="106"/>
      <c r="AM19" s="107"/>
      <c r="AN19" s="48"/>
      <c r="AO19" s="48"/>
      <c r="AP19" s="48"/>
      <c r="AQ19" s="48"/>
      <c r="AR19" s="48"/>
      <c r="AS19" s="48"/>
      <c r="AT19" s="48"/>
      <c r="AU19" s="48"/>
      <c r="AV19" s="48"/>
      <c r="AW19" s="48"/>
    </row>
    <row r="20" spans="1:49" ht="14.4" customHeight="1" thickBot="1" x14ac:dyDescent="0.45">
      <c r="A20" s="48"/>
      <c r="B20" s="48"/>
      <c r="C20" s="48"/>
      <c r="D20" s="48"/>
      <c r="E20" s="48"/>
      <c r="F20" s="48"/>
      <c r="G20" s="48"/>
      <c r="H20" s="48"/>
      <c r="I20" s="48"/>
      <c r="J20" s="48"/>
      <c r="K20" s="48"/>
      <c r="L20" s="48"/>
      <c r="M20" s="48"/>
      <c r="N20" s="48"/>
      <c r="O20" s="48"/>
      <c r="P20" s="48"/>
      <c r="Q20" s="48"/>
      <c r="R20" s="48"/>
      <c r="S20" s="48"/>
      <c r="T20" s="48"/>
      <c r="U20" s="48"/>
      <c r="V20" s="48"/>
      <c r="W20" s="48"/>
      <c r="X20" s="48"/>
      <c r="Y20" s="94"/>
      <c r="Z20" s="95"/>
      <c r="AA20" s="95"/>
      <c r="AB20" s="95"/>
      <c r="AC20" s="95"/>
      <c r="AD20" s="95"/>
      <c r="AE20" s="95"/>
      <c r="AF20" s="95"/>
      <c r="AG20" s="108"/>
      <c r="AH20" s="109"/>
      <c r="AI20" s="109"/>
      <c r="AJ20" s="109"/>
      <c r="AK20" s="109"/>
      <c r="AL20" s="109"/>
      <c r="AM20" s="110"/>
      <c r="AN20" s="48"/>
      <c r="AO20" s="48"/>
      <c r="AP20" s="48"/>
      <c r="AQ20" s="48"/>
      <c r="AR20" s="48"/>
      <c r="AS20" s="48"/>
      <c r="AT20" s="48"/>
      <c r="AU20" s="48"/>
      <c r="AV20" s="48"/>
      <c r="AW20" s="48"/>
    </row>
    <row r="21" spans="1:49" ht="14.4" customHeight="1" x14ac:dyDescent="0.4">
      <c r="A21" s="48"/>
      <c r="B21" s="48"/>
      <c r="C21" s="48"/>
      <c r="D21" s="48"/>
      <c r="E21" s="48"/>
      <c r="F21" s="48"/>
      <c r="G21" s="48"/>
      <c r="H21" s="48"/>
      <c r="I21" s="48"/>
      <c r="J21" s="48"/>
      <c r="K21" s="48"/>
      <c r="L21" s="48"/>
      <c r="M21" s="48"/>
      <c r="N21" s="48"/>
      <c r="O21" s="48"/>
      <c r="P21" s="48"/>
      <c r="Q21" s="48"/>
      <c r="R21" s="48"/>
      <c r="S21" s="48"/>
      <c r="T21" s="48"/>
      <c r="U21" s="48"/>
      <c r="V21" s="48"/>
      <c r="W21" s="48"/>
      <c r="X21" s="48"/>
      <c r="Y21" s="111" t="s">
        <v>13</v>
      </c>
      <c r="Z21" s="112"/>
      <c r="AA21" s="113"/>
      <c r="AB21" s="117" t="s">
        <v>96</v>
      </c>
      <c r="AC21" s="118"/>
      <c r="AD21" s="119"/>
      <c r="AE21" s="117" t="s">
        <v>92</v>
      </c>
      <c r="AF21" s="118"/>
      <c r="AG21" s="64"/>
      <c r="AH21" s="62" t="s">
        <v>93</v>
      </c>
      <c r="AI21" s="63"/>
      <c r="AJ21" s="64"/>
      <c r="AK21" s="62" t="s">
        <v>97</v>
      </c>
      <c r="AL21" s="63"/>
      <c r="AM21" s="64"/>
      <c r="AN21" s="48"/>
      <c r="AO21" s="48"/>
      <c r="AP21" s="48"/>
      <c r="AQ21" s="48"/>
      <c r="AR21" s="48"/>
      <c r="AS21" s="48"/>
      <c r="AT21" s="48"/>
      <c r="AU21" s="48"/>
      <c r="AV21" s="48"/>
      <c r="AW21" s="48"/>
    </row>
    <row r="22" spans="1:49" ht="14.4" customHeight="1" thickBot="1" x14ac:dyDescent="0.45">
      <c r="A22" s="48"/>
      <c r="B22" s="48"/>
      <c r="C22" s="48"/>
      <c r="D22" s="48"/>
      <c r="E22" s="48"/>
      <c r="F22" s="48"/>
      <c r="G22" s="48"/>
      <c r="H22" s="48"/>
      <c r="I22" s="48"/>
      <c r="J22" s="48"/>
      <c r="K22" s="48"/>
      <c r="L22" s="48"/>
      <c r="M22" s="48"/>
      <c r="N22" s="48"/>
      <c r="O22" s="48"/>
      <c r="P22" s="48"/>
      <c r="Q22" s="48"/>
      <c r="R22" s="48"/>
      <c r="S22" s="48"/>
      <c r="T22" s="48"/>
      <c r="U22" s="48"/>
      <c r="V22" s="48" t="str">
        <f>'top 5 Data'!F6</f>
        <v>Houston</v>
      </c>
      <c r="W22" s="48"/>
      <c r="X22" s="48"/>
      <c r="Y22" s="114"/>
      <c r="Z22" s="115"/>
      <c r="AA22" s="116"/>
      <c r="AB22" s="65"/>
      <c r="AC22" s="66"/>
      <c r="AD22" s="67"/>
      <c r="AE22" s="65"/>
      <c r="AF22" s="66"/>
      <c r="AG22" s="67"/>
      <c r="AH22" s="65"/>
      <c r="AI22" s="66"/>
      <c r="AJ22" s="67"/>
      <c r="AK22" s="65"/>
      <c r="AL22" s="66"/>
      <c r="AM22" s="67"/>
      <c r="AN22" s="48"/>
      <c r="AO22" s="48"/>
      <c r="AP22" s="48"/>
      <c r="AQ22" s="48"/>
      <c r="AR22" s="48"/>
      <c r="AS22" s="48"/>
      <c r="AT22" s="48"/>
      <c r="AU22" s="48"/>
      <c r="AV22" s="48"/>
      <c r="AW22" s="48"/>
    </row>
    <row r="23" spans="1:49" ht="14.4" customHeight="1" x14ac:dyDescent="0.4">
      <c r="A23" s="48"/>
      <c r="B23" s="48"/>
      <c r="C23" s="48"/>
      <c r="D23" s="48"/>
      <c r="E23" s="48"/>
      <c r="F23" s="48"/>
      <c r="G23" s="48"/>
      <c r="H23" s="48"/>
      <c r="I23" s="48"/>
      <c r="J23" s="48"/>
      <c r="K23" s="48"/>
      <c r="L23" s="48"/>
      <c r="M23" s="48"/>
      <c r="N23" s="48"/>
      <c r="O23" s="48"/>
      <c r="P23" s="48"/>
      <c r="Q23" s="48"/>
      <c r="R23" s="48"/>
      <c r="S23" s="48"/>
      <c r="T23" s="48"/>
      <c r="U23" s="48"/>
      <c r="V23" s="48"/>
      <c r="W23" s="48"/>
      <c r="X23" s="48"/>
      <c r="Y23" s="43"/>
      <c r="Z23" s="44"/>
      <c r="AA23" s="44"/>
      <c r="AB23" s="43"/>
      <c r="AC23" s="44"/>
      <c r="AD23" s="44"/>
      <c r="AE23" s="43"/>
      <c r="AF23" s="44"/>
      <c r="AG23" s="44"/>
      <c r="AH23" s="43"/>
      <c r="AI23" s="44"/>
      <c r="AJ23" s="44"/>
      <c r="AK23" s="43"/>
      <c r="AL23" s="44"/>
      <c r="AM23" s="45"/>
      <c r="AN23" s="48"/>
      <c r="AO23" s="48"/>
      <c r="AP23" s="48"/>
      <c r="AQ23" s="48"/>
      <c r="AR23" s="48"/>
      <c r="AS23" s="48"/>
      <c r="AT23" s="48"/>
      <c r="AU23" s="48"/>
      <c r="AV23" s="48"/>
      <c r="AW23" s="48"/>
    </row>
    <row r="24" spans="1:49" ht="15" customHeight="1" x14ac:dyDescent="0.4">
      <c r="A24" s="48"/>
      <c r="B24" s="48"/>
      <c r="C24" s="48"/>
      <c r="D24" s="48"/>
      <c r="E24" s="48"/>
      <c r="F24" s="48"/>
      <c r="G24" s="48"/>
      <c r="H24" s="48"/>
      <c r="I24" s="48"/>
      <c r="J24" s="48"/>
      <c r="K24" s="48"/>
      <c r="L24" s="48"/>
      <c r="M24" s="48"/>
      <c r="N24" s="48"/>
      <c r="O24" s="48"/>
      <c r="P24" s="48"/>
      <c r="Q24" s="48"/>
      <c r="R24" s="48"/>
      <c r="S24" s="48"/>
      <c r="T24" s="48"/>
      <c r="U24" s="48"/>
      <c r="V24" s="48"/>
      <c r="W24" s="48"/>
      <c r="X24" s="48"/>
      <c r="Y24" s="43"/>
      <c r="Z24" s="46"/>
      <c r="AA24" s="44"/>
      <c r="AB24" s="43"/>
      <c r="AC24" s="44"/>
      <c r="AD24" s="44"/>
      <c r="AE24" s="43"/>
      <c r="AF24" s="44"/>
      <c r="AG24" s="44"/>
      <c r="AH24" s="43"/>
      <c r="AI24" s="44"/>
      <c r="AJ24" s="44"/>
      <c r="AK24" s="43"/>
      <c r="AL24" s="44"/>
      <c r="AM24" s="45"/>
      <c r="AN24" s="48"/>
      <c r="AO24" s="48"/>
      <c r="AP24" s="48"/>
      <c r="AQ24" s="48"/>
      <c r="AR24" s="48"/>
      <c r="AS24" s="48"/>
      <c r="AT24" s="48"/>
      <c r="AU24" s="48"/>
      <c r="AV24" s="48"/>
      <c r="AW24" s="48"/>
    </row>
    <row r="25" spans="1:49" ht="15" customHeight="1" x14ac:dyDescent="0.4">
      <c r="A25" s="48"/>
      <c r="B25" s="48"/>
      <c r="C25" s="48"/>
      <c r="D25" s="48"/>
      <c r="E25" s="48"/>
      <c r="F25" s="48"/>
      <c r="G25" s="48"/>
      <c r="H25" s="48"/>
      <c r="I25" s="48"/>
      <c r="J25" s="48"/>
      <c r="K25" s="48"/>
      <c r="L25" s="48"/>
      <c r="M25" s="48"/>
      <c r="N25" s="48"/>
      <c r="O25" s="48"/>
      <c r="P25" s="48"/>
      <c r="Q25" s="48"/>
      <c r="R25" s="48"/>
      <c r="S25" s="48"/>
      <c r="T25" s="48"/>
      <c r="U25" s="48"/>
      <c r="V25" s="48"/>
      <c r="W25" s="48"/>
      <c r="X25" s="48"/>
      <c r="Y25" s="43"/>
      <c r="Z25" s="44"/>
      <c r="AA25" s="44"/>
      <c r="AB25" s="43"/>
      <c r="AC25" s="44"/>
      <c r="AD25" s="44"/>
      <c r="AE25" s="43"/>
      <c r="AF25" s="44"/>
      <c r="AG25" s="44"/>
      <c r="AH25" s="43"/>
      <c r="AI25" s="44"/>
      <c r="AJ25" s="44"/>
      <c r="AK25" s="43"/>
      <c r="AL25" s="44"/>
      <c r="AM25" s="45"/>
      <c r="AN25" s="48"/>
      <c r="AO25" s="48"/>
      <c r="AP25" s="48"/>
      <c r="AQ25" s="48"/>
      <c r="AR25" s="48"/>
      <c r="AS25" s="48"/>
      <c r="AT25" s="48"/>
      <c r="AU25" s="48"/>
      <c r="AV25" s="48"/>
      <c r="AW25" s="48"/>
    </row>
    <row r="26" spans="1:49" ht="17.399999999999999" customHeight="1" thickBot="1" x14ac:dyDescent="0.45">
      <c r="A26" s="48"/>
      <c r="B26" s="48"/>
      <c r="C26" s="48"/>
      <c r="D26" s="48"/>
      <c r="E26" s="48"/>
      <c r="F26" s="48"/>
      <c r="G26" s="48"/>
      <c r="H26" s="48"/>
      <c r="I26" s="48"/>
      <c r="J26" s="48"/>
      <c r="K26" s="48"/>
      <c r="L26" s="48"/>
      <c r="M26" s="48"/>
      <c r="N26" s="48"/>
      <c r="O26" s="48"/>
      <c r="P26" s="48"/>
      <c r="Q26" s="48"/>
      <c r="R26" s="48"/>
      <c r="S26" s="48"/>
      <c r="T26" s="48"/>
      <c r="U26" s="48"/>
      <c r="V26" s="48"/>
      <c r="W26" s="48"/>
      <c r="X26" s="48"/>
      <c r="Y26" s="43"/>
      <c r="Z26" s="44"/>
      <c r="AA26" s="44"/>
      <c r="AB26" s="43"/>
      <c r="AC26" s="44"/>
      <c r="AD26" s="44"/>
      <c r="AE26" s="43"/>
      <c r="AF26" s="44"/>
      <c r="AG26" s="44"/>
      <c r="AH26" s="43"/>
      <c r="AI26" s="44"/>
      <c r="AJ26" s="44"/>
      <c r="AK26" s="43"/>
      <c r="AL26" s="44"/>
      <c r="AM26" s="45"/>
      <c r="AN26" s="48"/>
      <c r="AO26" s="48"/>
      <c r="AP26" s="48"/>
      <c r="AQ26" s="48"/>
      <c r="AR26" s="48"/>
      <c r="AS26" s="48"/>
      <c r="AT26" s="48"/>
      <c r="AU26" s="48"/>
      <c r="AV26" s="48"/>
      <c r="AW26" s="48"/>
    </row>
    <row r="27" spans="1:49" ht="17.399999999999999" customHeight="1" x14ac:dyDescent="0.4">
      <c r="A27" s="48"/>
      <c r="B27" s="48"/>
      <c r="C27" s="48"/>
      <c r="D27" s="48"/>
      <c r="E27" s="48"/>
      <c r="F27" s="48"/>
      <c r="G27" s="48"/>
      <c r="H27" s="48"/>
      <c r="I27" s="48"/>
      <c r="J27" s="48"/>
      <c r="K27" s="48"/>
      <c r="L27" s="48"/>
      <c r="M27" s="48"/>
      <c r="N27" s="48"/>
      <c r="O27" s="48"/>
      <c r="P27" s="48"/>
      <c r="Q27" s="48"/>
      <c r="R27" s="48"/>
      <c r="S27" s="48"/>
      <c r="T27" s="48"/>
      <c r="U27" s="48"/>
      <c r="V27" s="48"/>
      <c r="W27" s="48"/>
      <c r="X27" s="48"/>
      <c r="Y27" s="68">
        <f>VLOOKUP(Y9,Dataset!A1:P31,14,FALSE)</f>
        <v>60</v>
      </c>
      <c r="Z27" s="69"/>
      <c r="AA27" s="70"/>
      <c r="AB27" s="68">
        <f>VLOOKUP(Y9,Dataset!A1:P31,13,FALSE)</f>
        <v>90</v>
      </c>
      <c r="AC27" s="69"/>
      <c r="AD27" s="70"/>
      <c r="AE27" s="68">
        <f>VLOOKUP(Y9,Dataset!A1:P31,12,FALSE)</f>
        <v>2200</v>
      </c>
      <c r="AF27" s="69"/>
      <c r="AG27" s="70"/>
      <c r="AH27" s="68">
        <f>VLOOKUP(Y9,Dataset!A1:P31,9,FALSE)</f>
        <v>300</v>
      </c>
      <c r="AI27" s="69"/>
      <c r="AJ27" s="70"/>
      <c r="AK27" s="68">
        <f>VLOOKUP(Y9,Dataset!A1:P31,11,FALSE)</f>
        <v>7.5</v>
      </c>
      <c r="AL27" s="69"/>
      <c r="AM27" s="70"/>
      <c r="AN27" s="48"/>
      <c r="AO27" s="48"/>
      <c r="AP27" s="48"/>
      <c r="AQ27" s="48"/>
      <c r="AR27" s="48"/>
      <c r="AS27" s="48"/>
      <c r="AT27" s="48"/>
      <c r="AU27" s="48"/>
      <c r="AV27" s="48"/>
      <c r="AW27" s="48"/>
    </row>
    <row r="28" spans="1:49" ht="17.399999999999999" customHeight="1" thickBot="1" x14ac:dyDescent="0.45">
      <c r="A28" s="48"/>
      <c r="B28" s="48"/>
      <c r="C28" s="48"/>
      <c r="D28" s="48"/>
      <c r="E28" s="48"/>
      <c r="F28" s="48"/>
      <c r="G28" s="48"/>
      <c r="H28" s="48"/>
      <c r="I28" s="48"/>
      <c r="J28" s="48"/>
      <c r="K28" s="48"/>
      <c r="L28" s="48"/>
      <c r="M28" s="48"/>
      <c r="N28" s="48"/>
      <c r="O28" s="48"/>
      <c r="P28" s="48"/>
      <c r="Q28" s="48"/>
      <c r="R28" s="48"/>
      <c r="S28" s="48"/>
      <c r="T28" s="48"/>
      <c r="U28" s="48"/>
      <c r="V28" s="48"/>
      <c r="W28" s="48"/>
      <c r="X28" s="48"/>
      <c r="Y28" s="71"/>
      <c r="Z28" s="72"/>
      <c r="AA28" s="73"/>
      <c r="AB28" s="71"/>
      <c r="AC28" s="72"/>
      <c r="AD28" s="73"/>
      <c r="AE28" s="71"/>
      <c r="AF28" s="72"/>
      <c r="AG28" s="73"/>
      <c r="AH28" s="71"/>
      <c r="AI28" s="72"/>
      <c r="AJ28" s="73"/>
      <c r="AK28" s="71"/>
      <c r="AL28" s="72"/>
      <c r="AM28" s="73"/>
      <c r="AN28" s="48"/>
      <c r="AO28" s="48"/>
      <c r="AP28" s="48"/>
      <c r="AQ28" s="48"/>
      <c r="AR28" s="48"/>
      <c r="AS28" s="48"/>
      <c r="AT28" s="48"/>
      <c r="AU28" s="48"/>
      <c r="AV28" s="48"/>
      <c r="AW28" s="48"/>
    </row>
    <row r="29" spans="1:49" ht="17.399999999999999" customHeight="1" thickBot="1" x14ac:dyDescent="0.45">
      <c r="A29" s="48"/>
      <c r="B29" s="48"/>
      <c r="C29" s="48"/>
      <c r="D29" s="48"/>
      <c r="E29" s="48"/>
      <c r="F29" s="48"/>
      <c r="G29" s="48"/>
      <c r="H29" s="48"/>
      <c r="I29" s="48"/>
      <c r="J29" s="48"/>
      <c r="K29" s="48"/>
      <c r="L29" s="48"/>
      <c r="M29" s="48"/>
      <c r="N29" s="48"/>
      <c r="O29" s="48"/>
      <c r="P29" s="48"/>
      <c r="Q29" s="48"/>
      <c r="R29" s="48"/>
      <c r="S29" s="48"/>
      <c r="T29" s="48"/>
      <c r="U29" s="48"/>
      <c r="V29" s="48"/>
      <c r="W29" s="48"/>
      <c r="X29" s="48"/>
      <c r="Y29" s="49"/>
      <c r="Z29" s="49"/>
      <c r="AA29" s="49"/>
      <c r="AB29" s="49"/>
      <c r="AC29" s="49"/>
      <c r="AD29" s="49"/>
      <c r="AE29" s="49"/>
      <c r="AF29" s="49"/>
      <c r="AG29" s="49"/>
      <c r="AH29" s="49"/>
      <c r="AI29" s="49"/>
      <c r="AJ29" s="49"/>
      <c r="AK29" s="49"/>
      <c r="AL29" s="49"/>
      <c r="AM29" s="49"/>
      <c r="AN29" s="48"/>
      <c r="AO29" s="48"/>
      <c r="AP29" s="48"/>
      <c r="AQ29" s="48"/>
      <c r="AR29" s="48"/>
      <c r="AS29" s="48"/>
      <c r="AT29" s="48"/>
      <c r="AU29" s="48"/>
      <c r="AV29" s="48"/>
      <c r="AW29" s="48"/>
    </row>
    <row r="30" spans="1:49" ht="17.399999999999999" customHeight="1" x14ac:dyDescent="0.4">
      <c r="A30" s="48"/>
      <c r="B30" s="48"/>
      <c r="C30" s="48"/>
      <c r="D30" s="48"/>
      <c r="E30" s="48"/>
      <c r="F30" s="48"/>
      <c r="G30" s="48"/>
      <c r="H30" s="48"/>
      <c r="I30" s="48"/>
      <c r="J30" s="48"/>
      <c r="K30" s="48"/>
      <c r="L30" s="48"/>
      <c r="M30" s="48"/>
      <c r="N30" s="48"/>
      <c r="O30" s="48"/>
      <c r="P30" s="48"/>
      <c r="Q30" s="48"/>
      <c r="R30" s="48"/>
      <c r="S30" s="48"/>
      <c r="T30" s="48"/>
      <c r="U30" s="48"/>
      <c r="V30" s="48"/>
      <c r="W30" s="48"/>
      <c r="X30" s="48"/>
      <c r="Y30" s="83" t="s">
        <v>76</v>
      </c>
      <c r="Z30" s="84"/>
      <c r="AA30" s="84"/>
      <c r="AB30" s="84"/>
      <c r="AC30" s="84"/>
      <c r="AD30" s="84"/>
      <c r="AE30" s="84"/>
      <c r="AF30" s="84"/>
      <c r="AG30" s="84"/>
      <c r="AH30" s="84"/>
      <c r="AI30" s="84"/>
      <c r="AJ30" s="84"/>
      <c r="AK30" s="84"/>
      <c r="AL30" s="84"/>
      <c r="AM30" s="89"/>
      <c r="AN30" s="48"/>
      <c r="AO30" s="48"/>
      <c r="AP30" s="48"/>
      <c r="AQ30" s="48"/>
      <c r="AR30" s="48"/>
      <c r="AS30" s="48"/>
      <c r="AT30" s="48"/>
      <c r="AU30" s="48"/>
      <c r="AV30" s="48"/>
      <c r="AW30" s="48"/>
    </row>
    <row r="31" spans="1:49" ht="18" customHeight="1" x14ac:dyDescent="0.4">
      <c r="A31" s="48"/>
      <c r="B31" s="48"/>
      <c r="C31" s="48"/>
      <c r="D31" s="48"/>
      <c r="E31" s="48"/>
      <c r="F31" s="48"/>
      <c r="G31" s="48"/>
      <c r="H31" s="48"/>
      <c r="I31" s="48"/>
      <c r="J31" s="48"/>
      <c r="K31" s="48"/>
      <c r="L31" s="48"/>
      <c r="M31" s="48"/>
      <c r="N31" s="48"/>
      <c r="O31" s="48"/>
      <c r="P31" s="48"/>
      <c r="Q31" s="48"/>
      <c r="R31" s="48"/>
      <c r="S31" s="48"/>
      <c r="T31" s="48"/>
      <c r="U31" s="48"/>
      <c r="V31" s="48"/>
      <c r="W31" s="48"/>
      <c r="X31" s="48"/>
      <c r="Y31" s="85"/>
      <c r="Z31" s="86"/>
      <c r="AA31" s="86"/>
      <c r="AB31" s="86"/>
      <c r="AC31" s="86"/>
      <c r="AD31" s="86"/>
      <c r="AE31" s="86"/>
      <c r="AF31" s="86"/>
      <c r="AG31" s="86"/>
      <c r="AH31" s="86"/>
      <c r="AI31" s="86"/>
      <c r="AJ31" s="86"/>
      <c r="AK31" s="86"/>
      <c r="AL31" s="86"/>
      <c r="AM31" s="90"/>
      <c r="AN31" s="48"/>
      <c r="AO31" s="48"/>
      <c r="AP31" s="48"/>
      <c r="AQ31" s="48"/>
      <c r="AR31" s="48"/>
      <c r="AS31" s="48"/>
      <c r="AT31" s="48"/>
      <c r="AU31" s="48"/>
      <c r="AV31" s="48"/>
      <c r="AW31" s="48"/>
    </row>
    <row r="32" spans="1:49" ht="14.4" customHeight="1" thickBot="1" x14ac:dyDescent="0.45">
      <c r="A32" s="48"/>
      <c r="B32" s="48"/>
      <c r="C32" s="48"/>
      <c r="D32" s="48"/>
      <c r="E32" s="48"/>
      <c r="F32" s="48"/>
      <c r="G32" s="48"/>
      <c r="H32" s="48"/>
      <c r="I32" s="48"/>
      <c r="J32" s="48"/>
      <c r="K32" s="48"/>
      <c r="L32" s="48"/>
      <c r="M32" s="48"/>
      <c r="N32" s="48"/>
      <c r="O32" s="48"/>
      <c r="P32" s="48"/>
      <c r="Q32" s="48"/>
      <c r="R32" s="48"/>
      <c r="S32" s="48"/>
      <c r="T32" s="48"/>
      <c r="U32" s="48"/>
      <c r="V32" s="48"/>
      <c r="W32" s="48"/>
      <c r="X32" s="48"/>
      <c r="Y32" s="87"/>
      <c r="Z32" s="88"/>
      <c r="AA32" s="88"/>
      <c r="AB32" s="88"/>
      <c r="AC32" s="88"/>
      <c r="AD32" s="88"/>
      <c r="AE32" s="88"/>
      <c r="AF32" s="88"/>
      <c r="AG32" s="88"/>
      <c r="AH32" s="88"/>
      <c r="AI32" s="88"/>
      <c r="AJ32" s="88"/>
      <c r="AK32" s="88"/>
      <c r="AL32" s="88"/>
      <c r="AM32" s="91"/>
      <c r="AN32" s="48"/>
      <c r="AO32" s="48"/>
      <c r="AP32" s="48"/>
      <c r="AQ32" s="48"/>
      <c r="AR32" s="48"/>
      <c r="AS32" s="48"/>
      <c r="AT32" s="48"/>
      <c r="AU32" s="48"/>
      <c r="AV32" s="48"/>
      <c r="AW32" s="48"/>
    </row>
    <row r="33" spans="1:49" ht="14.4" customHeight="1" x14ac:dyDescent="0.4">
      <c r="A33" s="48"/>
      <c r="B33" s="48"/>
      <c r="C33" s="48"/>
      <c r="D33" s="48"/>
      <c r="E33" s="48"/>
      <c r="F33" s="48"/>
      <c r="G33" s="48"/>
      <c r="H33" s="48"/>
      <c r="I33" s="48"/>
      <c r="J33" s="48"/>
      <c r="K33" s="48"/>
      <c r="L33" s="48"/>
      <c r="M33" s="48"/>
      <c r="N33" s="48"/>
      <c r="O33" s="48"/>
      <c r="P33" s="48"/>
      <c r="Q33" s="48"/>
      <c r="R33" s="48"/>
      <c r="S33" s="48"/>
      <c r="T33" s="48"/>
      <c r="U33" s="48"/>
      <c r="V33" s="48"/>
      <c r="W33" s="48"/>
      <c r="X33" s="48"/>
      <c r="Y33" s="53"/>
      <c r="Z33" s="54"/>
      <c r="AA33" s="54"/>
      <c r="AB33" s="54"/>
      <c r="AC33" s="55"/>
      <c r="AD33" s="120">
        <v>1</v>
      </c>
      <c r="AE33" s="121"/>
      <c r="AF33" s="74"/>
      <c r="AG33" s="75"/>
      <c r="AH33" s="75"/>
      <c r="AI33" s="75"/>
      <c r="AJ33" s="75"/>
      <c r="AK33" s="75"/>
      <c r="AL33" s="75"/>
      <c r="AM33" s="76"/>
      <c r="AN33" s="48"/>
      <c r="AO33" s="48"/>
      <c r="AP33" s="48"/>
      <c r="AQ33" s="48"/>
      <c r="AR33" s="48"/>
      <c r="AS33" s="48"/>
      <c r="AT33" s="48"/>
      <c r="AU33" s="48"/>
      <c r="AV33" s="48"/>
      <c r="AW33" s="48"/>
    </row>
    <row r="34" spans="1:49" ht="14.4" customHeight="1" x14ac:dyDescent="0.4">
      <c r="A34" s="48"/>
      <c r="B34" s="48"/>
      <c r="C34" s="48"/>
      <c r="D34" s="48"/>
      <c r="E34" s="48"/>
      <c r="F34" s="48"/>
      <c r="G34" s="48"/>
      <c r="H34" s="48"/>
      <c r="I34" s="48"/>
      <c r="J34" s="48"/>
      <c r="K34" s="48"/>
      <c r="L34" s="48"/>
      <c r="M34" s="48"/>
      <c r="N34" s="48"/>
      <c r="O34" s="48"/>
      <c r="P34" s="48"/>
      <c r="Q34" s="48"/>
      <c r="R34" s="48"/>
      <c r="S34" s="48"/>
      <c r="T34" s="48"/>
      <c r="U34" s="48"/>
      <c r="V34" s="48"/>
      <c r="W34" s="48"/>
      <c r="X34" s="48"/>
      <c r="Y34" s="56"/>
      <c r="Z34" s="57"/>
      <c r="AA34" s="57"/>
      <c r="AB34" s="57"/>
      <c r="AC34" s="58"/>
      <c r="AD34" s="120"/>
      <c r="AE34" s="121"/>
      <c r="AF34" s="74"/>
      <c r="AG34" s="75"/>
      <c r="AH34" s="75"/>
      <c r="AI34" s="75"/>
      <c r="AJ34" s="75"/>
      <c r="AK34" s="75"/>
      <c r="AL34" s="75"/>
      <c r="AM34" s="76"/>
      <c r="AN34" s="48"/>
      <c r="AO34" s="48"/>
      <c r="AP34" s="48"/>
      <c r="AQ34" s="48"/>
      <c r="AR34" s="48"/>
      <c r="AS34" s="48"/>
      <c r="AT34" s="48"/>
      <c r="AU34" s="48"/>
      <c r="AV34" s="48"/>
      <c r="AW34" s="48"/>
    </row>
    <row r="35" spans="1:49" ht="14.4" customHeight="1" thickBot="1" x14ac:dyDescent="0.45">
      <c r="A35" s="48"/>
      <c r="B35" s="48"/>
      <c r="C35" s="48"/>
      <c r="D35" s="48"/>
      <c r="E35" s="48"/>
      <c r="F35" s="48"/>
      <c r="G35" s="48"/>
      <c r="H35" s="48"/>
      <c r="I35" s="48"/>
      <c r="J35" s="48"/>
      <c r="K35" s="48"/>
      <c r="L35" s="48"/>
      <c r="M35" s="48"/>
      <c r="N35" s="48"/>
      <c r="O35" s="48"/>
      <c r="P35" s="48"/>
      <c r="Q35" s="48"/>
      <c r="R35" s="48"/>
      <c r="S35" s="48"/>
      <c r="T35" s="48"/>
      <c r="U35" s="48"/>
      <c r="V35" s="48"/>
      <c r="W35" s="48"/>
      <c r="X35" s="48"/>
      <c r="Y35" s="56"/>
      <c r="Z35" s="57"/>
      <c r="AA35" s="57"/>
      <c r="AB35" s="57"/>
      <c r="AC35" s="58"/>
      <c r="AD35" s="122"/>
      <c r="AE35" s="123"/>
      <c r="AF35" s="74"/>
      <c r="AG35" s="75"/>
      <c r="AH35" s="75"/>
      <c r="AI35" s="75"/>
      <c r="AJ35" s="75"/>
      <c r="AK35" s="75"/>
      <c r="AL35" s="75"/>
      <c r="AM35" s="76"/>
      <c r="AN35" s="48"/>
      <c r="AO35" s="48"/>
      <c r="AP35" s="48"/>
      <c r="AQ35" s="48"/>
      <c r="AR35" s="48"/>
      <c r="AS35" s="48"/>
      <c r="AT35" s="48"/>
      <c r="AU35" s="48"/>
      <c r="AV35" s="48"/>
      <c r="AW35" s="48"/>
    </row>
    <row r="36" spans="1:49" ht="14.4" customHeight="1" x14ac:dyDescent="0.4">
      <c r="A36" s="48"/>
      <c r="B36" s="48"/>
      <c r="C36" s="48"/>
      <c r="D36" s="48"/>
      <c r="E36" s="48"/>
      <c r="F36" s="48"/>
      <c r="G36" s="48"/>
      <c r="H36" s="48"/>
      <c r="I36" s="48"/>
      <c r="J36" s="48"/>
      <c r="K36" s="48"/>
      <c r="L36" s="48"/>
      <c r="M36" s="48"/>
      <c r="N36" s="48"/>
      <c r="O36" s="48"/>
      <c r="P36" s="48"/>
      <c r="Q36" s="48"/>
      <c r="R36" s="48"/>
      <c r="S36" s="48"/>
      <c r="T36" s="48"/>
      <c r="U36" s="48"/>
      <c r="V36" s="48"/>
      <c r="W36" s="48"/>
      <c r="X36" s="48"/>
      <c r="Y36" s="56"/>
      <c r="Z36" s="57"/>
      <c r="AA36" s="57"/>
      <c r="AB36" s="57"/>
      <c r="AC36" s="58"/>
      <c r="AD36" s="124">
        <v>2</v>
      </c>
      <c r="AE36" s="125"/>
      <c r="AF36" s="77"/>
      <c r="AG36" s="78"/>
      <c r="AH36" s="78"/>
      <c r="AI36" s="78"/>
      <c r="AJ36" s="78"/>
      <c r="AK36" s="78"/>
      <c r="AL36" s="78"/>
      <c r="AM36" s="79"/>
      <c r="AN36" s="48"/>
      <c r="AO36" s="48"/>
      <c r="AP36" s="48"/>
      <c r="AQ36" s="48"/>
      <c r="AR36" s="48"/>
      <c r="AS36" s="48"/>
      <c r="AT36" s="48"/>
      <c r="AU36" s="48"/>
      <c r="AV36" s="48"/>
      <c r="AW36" s="48"/>
    </row>
    <row r="37" spans="1:49" ht="14.4" customHeight="1" x14ac:dyDescent="0.4">
      <c r="A37" s="48"/>
      <c r="B37" s="48"/>
      <c r="C37" s="48"/>
      <c r="D37" s="48"/>
      <c r="E37" s="48"/>
      <c r="F37" s="48"/>
      <c r="G37" s="48"/>
      <c r="H37" s="48"/>
      <c r="I37" s="48"/>
      <c r="J37" s="48"/>
      <c r="K37" s="48"/>
      <c r="L37" s="48"/>
      <c r="M37" s="48"/>
      <c r="N37" s="48"/>
      <c r="O37" s="48"/>
      <c r="P37" s="48"/>
      <c r="Q37" s="48"/>
      <c r="R37" s="48"/>
      <c r="S37" s="48"/>
      <c r="T37" s="48"/>
      <c r="U37" s="48"/>
      <c r="V37" s="48"/>
      <c r="W37" s="48"/>
      <c r="X37" s="48"/>
      <c r="Y37" s="56"/>
      <c r="Z37" s="57"/>
      <c r="AA37" s="57"/>
      <c r="AB37" s="57"/>
      <c r="AC37" s="58"/>
      <c r="AD37" s="120"/>
      <c r="AE37" s="121"/>
      <c r="AF37" s="74"/>
      <c r="AG37" s="75"/>
      <c r="AH37" s="75"/>
      <c r="AI37" s="75"/>
      <c r="AJ37" s="75"/>
      <c r="AK37" s="75"/>
      <c r="AL37" s="75"/>
      <c r="AM37" s="76"/>
      <c r="AN37" s="48"/>
      <c r="AO37" s="48"/>
      <c r="AP37" s="48"/>
      <c r="AQ37" s="48"/>
      <c r="AR37" s="48"/>
      <c r="AS37" s="48"/>
      <c r="AT37" s="48"/>
      <c r="AU37" s="48"/>
      <c r="AV37" s="48"/>
      <c r="AW37" s="48"/>
    </row>
    <row r="38" spans="1:49" ht="16.8" customHeight="1" thickBot="1" x14ac:dyDescent="0.45">
      <c r="A38" s="48"/>
      <c r="B38" s="48"/>
      <c r="C38" s="48"/>
      <c r="D38" s="48"/>
      <c r="E38" s="48"/>
      <c r="F38" s="48"/>
      <c r="G38" s="48"/>
      <c r="H38" s="48"/>
      <c r="I38" s="48"/>
      <c r="J38" s="48"/>
      <c r="K38" s="48"/>
      <c r="L38" s="48"/>
      <c r="M38" s="48"/>
      <c r="N38" s="48"/>
      <c r="O38" s="48"/>
      <c r="P38" s="48"/>
      <c r="Q38" s="48"/>
      <c r="R38" s="48"/>
      <c r="S38" s="48"/>
      <c r="T38" s="48"/>
      <c r="U38" s="48"/>
      <c r="V38" s="48"/>
      <c r="W38" s="48"/>
      <c r="X38" s="48"/>
      <c r="Y38" s="56"/>
      <c r="Z38" s="57"/>
      <c r="AA38" s="57"/>
      <c r="AB38" s="57"/>
      <c r="AC38" s="58"/>
      <c r="AD38" s="122"/>
      <c r="AE38" s="123"/>
      <c r="AF38" s="80"/>
      <c r="AG38" s="81"/>
      <c r="AH38" s="81"/>
      <c r="AI38" s="81"/>
      <c r="AJ38" s="81"/>
      <c r="AK38" s="81"/>
      <c r="AL38" s="81"/>
      <c r="AM38" s="82"/>
      <c r="AN38" s="48"/>
      <c r="AO38" s="48"/>
      <c r="AP38" s="50">
        <f>'top 5 Data'!L7</f>
        <v>0</v>
      </c>
      <c r="AQ38" s="48"/>
      <c r="AR38" s="48"/>
      <c r="AS38" s="48"/>
      <c r="AT38" s="48"/>
      <c r="AU38" s="48"/>
      <c r="AV38" s="48"/>
      <c r="AW38" s="48"/>
    </row>
    <row r="39" spans="1:49" ht="16.8" customHeight="1" x14ac:dyDescent="0.4">
      <c r="A39" s="48"/>
      <c r="B39" s="48"/>
      <c r="C39" s="48"/>
      <c r="D39" s="48"/>
      <c r="E39" s="48"/>
      <c r="F39" s="48"/>
      <c r="G39" s="48"/>
      <c r="H39" s="48"/>
      <c r="I39" s="48"/>
      <c r="J39" s="48"/>
      <c r="K39" s="48"/>
      <c r="L39" s="48"/>
      <c r="M39" s="48"/>
      <c r="N39" s="48"/>
      <c r="O39" s="48"/>
      <c r="P39" s="48"/>
      <c r="Q39" s="48"/>
      <c r="R39" s="48"/>
      <c r="S39" s="48"/>
      <c r="T39" s="48"/>
      <c r="U39" s="48"/>
      <c r="V39" s="48"/>
      <c r="W39" s="48"/>
      <c r="X39" s="48"/>
      <c r="Y39" s="56"/>
      <c r="Z39" s="57"/>
      <c r="AA39" s="57"/>
      <c r="AB39" s="57"/>
      <c r="AC39" s="58"/>
      <c r="AD39" s="124">
        <v>3</v>
      </c>
      <c r="AE39" s="125"/>
      <c r="AF39" s="77"/>
      <c r="AG39" s="78"/>
      <c r="AH39" s="78"/>
      <c r="AI39" s="78"/>
      <c r="AJ39" s="78"/>
      <c r="AK39" s="78"/>
      <c r="AL39" s="78"/>
      <c r="AM39" s="79"/>
      <c r="AN39" s="48"/>
      <c r="AO39" s="48"/>
      <c r="AP39" s="48"/>
      <c r="AQ39" s="48"/>
      <c r="AR39" s="48"/>
      <c r="AS39" s="48"/>
      <c r="AT39" s="48"/>
      <c r="AU39" s="48"/>
      <c r="AV39" s="48"/>
      <c r="AW39" s="48"/>
    </row>
    <row r="40" spans="1:49" ht="16.8" customHeight="1" x14ac:dyDescent="0.4">
      <c r="A40" s="48"/>
      <c r="B40" s="48"/>
      <c r="C40" s="48"/>
      <c r="D40" s="48"/>
      <c r="E40" s="48"/>
      <c r="F40" s="48"/>
      <c r="G40" s="48"/>
      <c r="H40" s="48"/>
      <c r="I40" s="48"/>
      <c r="J40" s="48"/>
      <c r="K40" s="48"/>
      <c r="L40" s="48"/>
      <c r="M40" s="48"/>
      <c r="N40" s="48"/>
      <c r="O40" s="48"/>
      <c r="P40" s="48"/>
      <c r="Q40" s="48"/>
      <c r="R40" s="48"/>
      <c r="S40" s="48"/>
      <c r="T40" s="48"/>
      <c r="U40" s="48"/>
      <c r="V40" s="48"/>
      <c r="W40" s="48"/>
      <c r="X40" s="48"/>
      <c r="Y40" s="56"/>
      <c r="Z40" s="57"/>
      <c r="AA40" s="57"/>
      <c r="AB40" s="57"/>
      <c r="AC40" s="58"/>
      <c r="AD40" s="120"/>
      <c r="AE40" s="121"/>
      <c r="AF40" s="74"/>
      <c r="AG40" s="75"/>
      <c r="AH40" s="75"/>
      <c r="AI40" s="75"/>
      <c r="AJ40" s="75"/>
      <c r="AK40" s="75"/>
      <c r="AL40" s="75"/>
      <c r="AM40" s="76"/>
      <c r="AN40" s="48"/>
      <c r="AO40" s="48"/>
      <c r="AP40" s="48"/>
      <c r="AQ40" s="48"/>
      <c r="AR40" s="48"/>
      <c r="AS40" s="48"/>
      <c r="AT40" s="48"/>
      <c r="AU40" s="48"/>
      <c r="AV40" s="48"/>
      <c r="AW40" s="48"/>
    </row>
    <row r="41" spans="1:49" ht="17.399999999999999" customHeight="1" thickBot="1" x14ac:dyDescent="0.45">
      <c r="A41" s="48"/>
      <c r="B41" s="48"/>
      <c r="C41" s="48"/>
      <c r="D41" s="48"/>
      <c r="E41" s="48"/>
      <c r="F41" s="48"/>
      <c r="G41" s="48"/>
      <c r="H41" s="48"/>
      <c r="I41" s="48"/>
      <c r="J41" s="48"/>
      <c r="K41" s="48"/>
      <c r="L41" s="48"/>
      <c r="M41" s="48"/>
      <c r="N41" s="48"/>
      <c r="O41" s="48"/>
      <c r="P41" s="48"/>
      <c r="Q41" s="48"/>
      <c r="R41" s="48"/>
      <c r="S41" s="48"/>
      <c r="T41" s="48"/>
      <c r="U41" s="48"/>
      <c r="V41" s="48"/>
      <c r="W41" s="48"/>
      <c r="X41" s="48"/>
      <c r="Y41" s="56"/>
      <c r="Z41" s="57"/>
      <c r="AA41" s="57"/>
      <c r="AB41" s="57"/>
      <c r="AC41" s="58"/>
      <c r="AD41" s="122"/>
      <c r="AE41" s="123"/>
      <c r="AF41" s="80"/>
      <c r="AG41" s="81"/>
      <c r="AH41" s="81"/>
      <c r="AI41" s="81"/>
      <c r="AJ41" s="81"/>
      <c r="AK41" s="81"/>
      <c r="AL41" s="81"/>
      <c r="AM41" s="82"/>
      <c r="AN41" s="48"/>
      <c r="AO41" s="48"/>
      <c r="AP41" s="48"/>
      <c r="AQ41" s="48"/>
      <c r="AR41" s="48"/>
      <c r="AS41" s="48"/>
      <c r="AT41" s="48"/>
      <c r="AU41" s="48"/>
      <c r="AV41" s="48"/>
      <c r="AW41" s="48"/>
    </row>
    <row r="42" spans="1:49" ht="16.8" customHeight="1" x14ac:dyDescent="0.4">
      <c r="A42" s="48"/>
      <c r="B42" s="48"/>
      <c r="C42" s="48"/>
      <c r="D42" s="48"/>
      <c r="E42" s="48"/>
      <c r="F42" s="48"/>
      <c r="G42" s="48"/>
      <c r="H42" s="48"/>
      <c r="I42" s="48"/>
      <c r="J42" s="48"/>
      <c r="K42" s="48"/>
      <c r="L42" s="48"/>
      <c r="M42" s="48"/>
      <c r="N42" s="48"/>
      <c r="O42" s="48"/>
      <c r="P42" s="48"/>
      <c r="Q42" s="48"/>
      <c r="R42" s="48"/>
      <c r="S42" s="48"/>
      <c r="T42" s="48"/>
      <c r="U42" s="48"/>
      <c r="V42" s="48"/>
      <c r="W42" s="48"/>
      <c r="X42" s="48"/>
      <c r="Y42" s="56"/>
      <c r="Z42" s="57"/>
      <c r="AA42" s="57"/>
      <c r="AB42" s="57"/>
      <c r="AC42" s="58"/>
      <c r="AD42" s="124">
        <v>4</v>
      </c>
      <c r="AE42" s="125"/>
      <c r="AF42" s="77"/>
      <c r="AG42" s="78"/>
      <c r="AH42" s="78"/>
      <c r="AI42" s="78"/>
      <c r="AJ42" s="78"/>
      <c r="AK42" s="78"/>
      <c r="AL42" s="78"/>
      <c r="AM42" s="79"/>
      <c r="AN42" s="48"/>
      <c r="AO42" s="48"/>
      <c r="AP42" s="48"/>
      <c r="AQ42" s="48"/>
      <c r="AR42" s="48"/>
      <c r="AS42" s="48"/>
      <c r="AT42" s="48"/>
      <c r="AU42" s="48"/>
      <c r="AV42" s="48"/>
      <c r="AW42" s="48"/>
    </row>
    <row r="43" spans="1:49" ht="16.8" customHeight="1" x14ac:dyDescent="0.4">
      <c r="A43" s="48"/>
      <c r="B43" s="48"/>
      <c r="C43" s="48"/>
      <c r="D43" s="48"/>
      <c r="E43" s="48"/>
      <c r="F43" s="48"/>
      <c r="G43" s="48"/>
      <c r="H43" s="48"/>
      <c r="I43" s="48"/>
      <c r="J43" s="48"/>
      <c r="K43" s="48"/>
      <c r="L43" s="48"/>
      <c r="M43" s="48"/>
      <c r="N43" s="48"/>
      <c r="O43" s="48"/>
      <c r="P43" s="48"/>
      <c r="Q43" s="48"/>
      <c r="R43" s="48"/>
      <c r="S43" s="48"/>
      <c r="T43" s="48"/>
      <c r="U43" s="48"/>
      <c r="V43" s="48"/>
      <c r="W43" s="48"/>
      <c r="X43" s="48"/>
      <c r="Y43" s="56"/>
      <c r="Z43" s="57"/>
      <c r="AA43" s="57"/>
      <c r="AB43" s="57"/>
      <c r="AC43" s="58"/>
      <c r="AD43" s="120"/>
      <c r="AE43" s="121"/>
      <c r="AF43" s="74"/>
      <c r="AG43" s="75"/>
      <c r="AH43" s="75"/>
      <c r="AI43" s="75"/>
      <c r="AJ43" s="75"/>
      <c r="AK43" s="75"/>
      <c r="AL43" s="75"/>
      <c r="AM43" s="76"/>
      <c r="AN43" s="48"/>
      <c r="AO43" s="48"/>
      <c r="AP43" s="48"/>
      <c r="AQ43" s="48"/>
      <c r="AR43" s="48"/>
      <c r="AS43" s="48"/>
      <c r="AT43" s="48"/>
      <c r="AU43" s="48"/>
      <c r="AV43" s="48"/>
      <c r="AW43" s="48"/>
    </row>
    <row r="44" spans="1:49" ht="17.399999999999999" customHeight="1" thickBot="1" x14ac:dyDescent="0.45">
      <c r="A44" s="48"/>
      <c r="B44" s="48"/>
      <c r="C44" s="48"/>
      <c r="D44" s="48"/>
      <c r="E44" s="48"/>
      <c r="F44" s="48"/>
      <c r="G44" s="48"/>
      <c r="H44" s="48"/>
      <c r="I44" s="48"/>
      <c r="J44" s="48"/>
      <c r="K44" s="48"/>
      <c r="L44" s="48"/>
      <c r="M44" s="48"/>
      <c r="N44" s="48"/>
      <c r="O44" s="48"/>
      <c r="P44" s="48"/>
      <c r="Q44" s="48"/>
      <c r="R44" s="48"/>
      <c r="S44" s="48"/>
      <c r="T44" s="48"/>
      <c r="U44" s="48"/>
      <c r="V44" s="48"/>
      <c r="W44" s="48"/>
      <c r="X44" s="48"/>
      <c r="Y44" s="56"/>
      <c r="Z44" s="57"/>
      <c r="AA44" s="57"/>
      <c r="AB44" s="57"/>
      <c r="AC44" s="58"/>
      <c r="AD44" s="122"/>
      <c r="AE44" s="123"/>
      <c r="AF44" s="80"/>
      <c r="AG44" s="81"/>
      <c r="AH44" s="81"/>
      <c r="AI44" s="81"/>
      <c r="AJ44" s="81"/>
      <c r="AK44" s="81"/>
      <c r="AL44" s="81"/>
      <c r="AM44" s="82"/>
      <c r="AN44" s="48"/>
      <c r="AO44" s="48"/>
      <c r="AP44" s="48"/>
      <c r="AQ44" s="48"/>
      <c r="AR44" s="48"/>
      <c r="AS44" s="48"/>
      <c r="AT44" s="48"/>
      <c r="AU44" s="48"/>
      <c r="AV44" s="48"/>
      <c r="AW44" s="48"/>
    </row>
    <row r="45" spans="1:49" ht="16.8" customHeight="1" x14ac:dyDescent="0.4">
      <c r="A45" s="48"/>
      <c r="B45" s="48"/>
      <c r="C45" s="48"/>
      <c r="D45" s="48"/>
      <c r="E45" s="48"/>
      <c r="F45" s="48"/>
      <c r="G45" s="48"/>
      <c r="H45" s="48"/>
      <c r="I45" s="48"/>
      <c r="J45" s="48"/>
      <c r="K45" s="48"/>
      <c r="L45" s="48"/>
      <c r="M45" s="48"/>
      <c r="N45" s="48"/>
      <c r="O45" s="48"/>
      <c r="P45" s="48"/>
      <c r="Q45" s="48"/>
      <c r="R45" s="48"/>
      <c r="S45" s="48"/>
      <c r="T45" s="48"/>
      <c r="U45" s="48"/>
      <c r="V45" s="48"/>
      <c r="W45" s="48"/>
      <c r="X45" s="48"/>
      <c r="Y45" s="56"/>
      <c r="Z45" s="57"/>
      <c r="AA45" s="57"/>
      <c r="AB45" s="57"/>
      <c r="AC45" s="58"/>
      <c r="AD45" s="124">
        <v>5</v>
      </c>
      <c r="AE45" s="125"/>
      <c r="AF45" s="77"/>
      <c r="AG45" s="78"/>
      <c r="AH45" s="78"/>
      <c r="AI45" s="78"/>
      <c r="AJ45" s="78"/>
      <c r="AK45" s="78"/>
      <c r="AL45" s="78"/>
      <c r="AM45" s="79"/>
      <c r="AN45" s="48"/>
      <c r="AO45" s="48"/>
      <c r="AP45" s="48"/>
      <c r="AQ45" s="48"/>
      <c r="AR45" s="48"/>
      <c r="AS45" s="48"/>
      <c r="AT45" s="48"/>
      <c r="AU45" s="48"/>
      <c r="AV45" s="48"/>
      <c r="AW45" s="48"/>
    </row>
    <row r="46" spans="1:49" ht="16.8" customHeight="1" x14ac:dyDescent="0.4">
      <c r="A46" s="48"/>
      <c r="B46" s="48"/>
      <c r="C46" s="48"/>
      <c r="D46" s="48"/>
      <c r="E46" s="48"/>
      <c r="F46" s="48"/>
      <c r="G46" s="48"/>
      <c r="H46" s="48"/>
      <c r="I46" s="48"/>
      <c r="J46" s="48"/>
      <c r="K46" s="48"/>
      <c r="L46" s="48"/>
      <c r="M46" s="48"/>
      <c r="N46" s="48"/>
      <c r="O46" s="48"/>
      <c r="P46" s="48"/>
      <c r="Q46" s="48"/>
      <c r="R46" s="48"/>
      <c r="S46" s="48"/>
      <c r="T46" s="48"/>
      <c r="U46" s="48"/>
      <c r="V46" s="48"/>
      <c r="W46" s="48"/>
      <c r="X46" s="48"/>
      <c r="Y46" s="56"/>
      <c r="Z46" s="57"/>
      <c r="AA46" s="57"/>
      <c r="AB46" s="57"/>
      <c r="AC46" s="58"/>
      <c r="AD46" s="120"/>
      <c r="AE46" s="121"/>
      <c r="AF46" s="74"/>
      <c r="AG46" s="75"/>
      <c r="AH46" s="75"/>
      <c r="AI46" s="75"/>
      <c r="AJ46" s="75"/>
      <c r="AK46" s="75"/>
      <c r="AL46" s="75"/>
      <c r="AM46" s="76"/>
      <c r="AN46" s="48"/>
      <c r="AO46" s="48"/>
      <c r="AP46" s="48"/>
      <c r="AQ46" s="48"/>
      <c r="AR46" s="48"/>
      <c r="AS46" s="48"/>
      <c r="AT46" s="48"/>
      <c r="AU46" s="48"/>
      <c r="AV46" s="48"/>
      <c r="AW46" s="48"/>
    </row>
    <row r="47" spans="1:49" ht="17.399999999999999" customHeight="1" thickBot="1" x14ac:dyDescent="0.45">
      <c r="A47" s="48"/>
      <c r="B47" s="48"/>
      <c r="C47" s="48"/>
      <c r="D47" s="48"/>
      <c r="E47" s="48"/>
      <c r="F47" s="48"/>
      <c r="G47" s="48"/>
      <c r="H47" s="48"/>
      <c r="I47" s="48"/>
      <c r="J47" s="48"/>
      <c r="K47" s="48"/>
      <c r="L47" s="48"/>
      <c r="M47" s="48"/>
      <c r="N47" s="48"/>
      <c r="O47" s="48"/>
      <c r="P47" s="48"/>
      <c r="Q47" s="48"/>
      <c r="R47" s="48"/>
      <c r="S47" s="48"/>
      <c r="T47" s="48"/>
      <c r="U47" s="48"/>
      <c r="V47" s="48"/>
      <c r="W47" s="48"/>
      <c r="X47" s="48"/>
      <c r="Y47" s="59"/>
      <c r="Z47" s="60"/>
      <c r="AA47" s="60"/>
      <c r="AB47" s="60"/>
      <c r="AC47" s="61"/>
      <c r="AD47" s="126"/>
      <c r="AE47" s="127"/>
      <c r="AF47" s="80"/>
      <c r="AG47" s="81"/>
      <c r="AH47" s="81"/>
      <c r="AI47" s="81"/>
      <c r="AJ47" s="81"/>
      <c r="AK47" s="81"/>
      <c r="AL47" s="81"/>
      <c r="AM47" s="82"/>
      <c r="AN47" s="48"/>
      <c r="AO47" s="48"/>
      <c r="AP47" s="48"/>
      <c r="AQ47" s="48"/>
      <c r="AR47" s="48"/>
      <c r="AS47" s="48"/>
      <c r="AT47" s="48"/>
      <c r="AU47" s="48"/>
      <c r="AV47" s="48"/>
      <c r="AW47" s="48"/>
    </row>
    <row r="48" spans="1:49" x14ac:dyDescent="0.4">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row>
    <row r="49" spans="1:49" x14ac:dyDescent="0.4">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50">
        <f>'top 5 Data'!XFC18</f>
        <v>0</v>
      </c>
      <c r="AD49" s="48"/>
      <c r="AE49" s="48"/>
      <c r="AF49" s="48"/>
      <c r="AG49" s="48"/>
      <c r="AH49" s="48"/>
      <c r="AI49" s="48"/>
      <c r="AJ49" s="48"/>
      <c r="AK49" s="48"/>
      <c r="AL49" s="48"/>
      <c r="AM49" s="48"/>
      <c r="AN49" s="48"/>
      <c r="AO49" s="48"/>
      <c r="AP49" s="48"/>
      <c r="AQ49" s="48"/>
      <c r="AR49" s="48"/>
      <c r="AS49" s="48"/>
      <c r="AT49" s="48"/>
      <c r="AU49" s="48"/>
      <c r="AV49" s="48"/>
      <c r="AW49" s="48"/>
    </row>
    <row r="50" spans="1:49" x14ac:dyDescent="0.4">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row>
    <row r="51" spans="1:49" x14ac:dyDescent="0.4">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row>
    <row r="52" spans="1:49" x14ac:dyDescent="0.4">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row>
    <row r="53" spans="1:49" x14ac:dyDescent="0.4">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row>
    <row r="54" spans="1:49" x14ac:dyDescent="0.4">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row>
    <row r="55" spans="1:49" x14ac:dyDescent="0.4">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row>
    <row r="56" spans="1:49" x14ac:dyDescent="0.4">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row>
    <row r="57" spans="1:49" x14ac:dyDescent="0.4">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48"/>
      <c r="AK57" s="48"/>
      <c r="AL57" s="48"/>
      <c r="AM57" s="48"/>
      <c r="AN57" s="48"/>
      <c r="AO57" s="48"/>
      <c r="AP57" s="48"/>
      <c r="AQ57" s="48"/>
      <c r="AR57" s="48"/>
      <c r="AS57" s="48"/>
      <c r="AT57" s="48"/>
      <c r="AU57" s="48"/>
      <c r="AV57" s="48"/>
      <c r="AW57" s="48"/>
    </row>
    <row r="58" spans="1:49" x14ac:dyDescent="0.4">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row>
  </sheetData>
  <mergeCells count="27">
    <mergeCell ref="AD39:AE41"/>
    <mergeCell ref="AD42:AE44"/>
    <mergeCell ref="AD45:AE47"/>
    <mergeCell ref="Y9:AF20"/>
    <mergeCell ref="Y8:AF8"/>
    <mergeCell ref="AG8:AM8"/>
    <mergeCell ref="AG9:AM20"/>
    <mergeCell ref="Y21:AA22"/>
    <mergeCell ref="AB21:AD22"/>
    <mergeCell ref="AE21:AG22"/>
    <mergeCell ref="AH21:AJ22"/>
    <mergeCell ref="Y33:AC47"/>
    <mergeCell ref="AK21:AM22"/>
    <mergeCell ref="AK27:AM28"/>
    <mergeCell ref="Y27:AA28"/>
    <mergeCell ref="AB27:AD28"/>
    <mergeCell ref="AE27:AG28"/>
    <mergeCell ref="AH27:AJ28"/>
    <mergeCell ref="AF33:AM35"/>
    <mergeCell ref="AF36:AM38"/>
    <mergeCell ref="Y30:AK32"/>
    <mergeCell ref="AL30:AM32"/>
    <mergeCell ref="AF39:AM41"/>
    <mergeCell ref="AF42:AM44"/>
    <mergeCell ref="AF45:AM47"/>
    <mergeCell ref="AD33:AE35"/>
    <mergeCell ref="AD36:AE38"/>
  </mergeCells>
  <pageMargins left="0.7" right="0.7" top="0.75" bottom="0.75" header="0.3" footer="0.3"/>
  <pageSetup paperSize="8"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t a city from the dropdown!" xr:uid="{4D93FE4F-E55F-45F9-A48C-3E336F3E0ACC}">
          <x14:formula1>
            <xm:f>Dataset!$A$2:$A$31</xm:f>
          </x14:formula1>
          <xm:sqref>Y9</xm:sqref>
        </x14:dataValidation>
      </x14:dataValidations>
    </ex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6984C-05B0-4D2B-8298-226B106413E2}">
  <sheetPr codeName="Sheet11"/>
  <dimension ref="A1"/>
  <sheetViews>
    <sheetView workbookViewId="0"/>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5F521-51C2-40E6-A8FC-500C3CFB0306}">
  <sheetPr codeName="Sheet3"/>
  <dimension ref="A1:H31"/>
  <sheetViews>
    <sheetView workbookViewId="0">
      <selection activeCell="J13" sqref="J13"/>
    </sheetView>
  </sheetViews>
  <sheetFormatPr defaultRowHeight="14.4" x14ac:dyDescent="0.3"/>
  <cols>
    <col min="1" max="1" width="35.77734375" bestFit="1" customWidth="1"/>
    <col min="5" max="5" width="8.21875" bestFit="1" customWidth="1"/>
  </cols>
  <sheetData>
    <row r="1" spans="1:8" ht="57.6" x14ac:dyDescent="0.3">
      <c r="A1" s="2" t="s">
        <v>0</v>
      </c>
      <c r="B1" s="5" t="s">
        <v>8</v>
      </c>
      <c r="C1" s="5" t="s">
        <v>9</v>
      </c>
      <c r="D1" s="5" t="s">
        <v>10</v>
      </c>
      <c r="E1" s="5" t="s">
        <v>11</v>
      </c>
      <c r="F1" s="5" t="s">
        <v>12</v>
      </c>
      <c r="G1" s="5" t="s">
        <v>13</v>
      </c>
      <c r="H1" s="5" t="s">
        <v>62</v>
      </c>
    </row>
    <row r="2" spans="1:8" x14ac:dyDescent="0.3">
      <c r="A2" s="3" t="s">
        <v>14</v>
      </c>
      <c r="B2" s="11">
        <v>1700</v>
      </c>
      <c r="C2" s="11">
        <v>100</v>
      </c>
      <c r="D2" s="12">
        <v>10</v>
      </c>
      <c r="E2" s="11">
        <v>24000</v>
      </c>
      <c r="F2" s="11">
        <v>200</v>
      </c>
      <c r="G2" s="11">
        <v>100</v>
      </c>
      <c r="H2">
        <v>8.7198480000000007</v>
      </c>
    </row>
    <row r="3" spans="1:8" x14ac:dyDescent="0.3">
      <c r="A3" s="3" t="s">
        <v>15</v>
      </c>
      <c r="B3" s="11">
        <v>450</v>
      </c>
      <c r="C3" s="11">
        <v>200</v>
      </c>
      <c r="D3" s="12">
        <v>9.5</v>
      </c>
      <c r="E3" s="11">
        <v>29000</v>
      </c>
      <c r="F3" s="11">
        <v>80</v>
      </c>
      <c r="G3" s="11">
        <v>50</v>
      </c>
      <c r="H3">
        <v>6.3646929999999999</v>
      </c>
    </row>
    <row r="4" spans="1:8" x14ac:dyDescent="0.3">
      <c r="A4" s="3" t="s">
        <v>16</v>
      </c>
      <c r="B4" s="11">
        <v>600</v>
      </c>
      <c r="C4" s="11">
        <v>60</v>
      </c>
      <c r="D4" s="12">
        <v>8.5</v>
      </c>
      <c r="E4" s="11">
        <v>7500</v>
      </c>
      <c r="F4" s="11">
        <v>200</v>
      </c>
      <c r="G4" s="11">
        <v>50</v>
      </c>
      <c r="H4">
        <v>4.5578760000000003</v>
      </c>
    </row>
    <row r="5" spans="1:8" x14ac:dyDescent="0.3">
      <c r="A5" s="3" t="s">
        <v>17</v>
      </c>
      <c r="B5" s="11">
        <v>300</v>
      </c>
      <c r="C5" s="11">
        <v>70</v>
      </c>
      <c r="D5" s="12">
        <v>7.5</v>
      </c>
      <c r="E5" s="11">
        <v>2200</v>
      </c>
      <c r="F5" s="11">
        <v>90</v>
      </c>
      <c r="G5" s="11">
        <v>60</v>
      </c>
      <c r="H5">
        <v>2.9505919999999999</v>
      </c>
    </row>
    <row r="6" spans="1:8" x14ac:dyDescent="0.3">
      <c r="A6" s="3" t="s">
        <v>18</v>
      </c>
      <c r="B6" s="11">
        <v>220</v>
      </c>
      <c r="C6" s="11">
        <v>50</v>
      </c>
      <c r="D6" s="12">
        <v>8</v>
      </c>
      <c r="E6" s="11">
        <v>4500</v>
      </c>
      <c r="F6" s="11">
        <v>50</v>
      </c>
      <c r="G6" s="11">
        <v>40</v>
      </c>
      <c r="H6">
        <v>2.7785500000000001</v>
      </c>
    </row>
    <row r="7" spans="1:8" x14ac:dyDescent="0.3">
      <c r="A7" s="3" t="s">
        <v>19</v>
      </c>
      <c r="B7" s="11">
        <v>300</v>
      </c>
      <c r="C7" s="11">
        <v>100</v>
      </c>
      <c r="D7" s="12">
        <v>7.5</v>
      </c>
      <c r="E7" s="11">
        <v>6000</v>
      </c>
      <c r="F7" s="11">
        <v>50</v>
      </c>
      <c r="G7" s="11">
        <v>30</v>
      </c>
      <c r="H7">
        <v>2.3452320000000002</v>
      </c>
    </row>
    <row r="8" spans="1:8" x14ac:dyDescent="0.3">
      <c r="A8" s="3" t="s">
        <v>20</v>
      </c>
      <c r="B8" s="11">
        <v>200</v>
      </c>
      <c r="C8" s="11">
        <v>60</v>
      </c>
      <c r="D8" s="12">
        <v>7</v>
      </c>
      <c r="E8" s="11">
        <v>3000</v>
      </c>
      <c r="F8" s="11">
        <v>40</v>
      </c>
      <c r="G8" s="11">
        <v>25</v>
      </c>
      <c r="H8">
        <v>2.3418800000000002</v>
      </c>
    </row>
    <row r="9" spans="1:8" x14ac:dyDescent="0.3">
      <c r="A9" s="3" t="s">
        <v>21</v>
      </c>
      <c r="B9" s="11">
        <v>300</v>
      </c>
      <c r="C9" s="11">
        <v>30</v>
      </c>
      <c r="D9" s="12">
        <v>7.5</v>
      </c>
      <c r="E9" s="11">
        <v>1500</v>
      </c>
      <c r="F9" s="11">
        <v>20</v>
      </c>
      <c r="G9" s="11">
        <v>20</v>
      </c>
      <c r="H9">
        <v>2.2886769999999999</v>
      </c>
    </row>
    <row r="10" spans="1:8" x14ac:dyDescent="0.3">
      <c r="A10" s="3" t="s">
        <v>22</v>
      </c>
      <c r="B10" s="11">
        <v>400</v>
      </c>
      <c r="C10" s="11">
        <v>80</v>
      </c>
      <c r="D10" s="12">
        <v>7.5</v>
      </c>
      <c r="E10" s="11">
        <v>6000</v>
      </c>
      <c r="F10" s="11">
        <v>60</v>
      </c>
      <c r="G10" s="11">
        <v>30</v>
      </c>
      <c r="H10">
        <v>2.2089029999999998</v>
      </c>
    </row>
    <row r="11" spans="1:8" x14ac:dyDescent="0.3">
      <c r="A11" s="3" t="s">
        <v>23</v>
      </c>
      <c r="B11" s="11">
        <v>370</v>
      </c>
      <c r="C11" s="11">
        <v>150</v>
      </c>
      <c r="D11" s="12">
        <v>7.5</v>
      </c>
      <c r="E11" s="11">
        <v>10000</v>
      </c>
      <c r="F11" s="11">
        <v>50</v>
      </c>
      <c r="G11" s="11">
        <v>20</v>
      </c>
      <c r="H11">
        <v>2.1304310000000002</v>
      </c>
    </row>
    <row r="12" spans="1:8" x14ac:dyDescent="0.3">
      <c r="A12" s="3" t="s">
        <v>24</v>
      </c>
      <c r="B12" s="11">
        <v>300</v>
      </c>
      <c r="C12" s="11">
        <v>75</v>
      </c>
      <c r="D12" s="12">
        <v>9</v>
      </c>
      <c r="E12" s="11">
        <v>3500</v>
      </c>
      <c r="F12" s="11">
        <v>30</v>
      </c>
      <c r="G12" s="11">
        <v>25</v>
      </c>
      <c r="H12">
        <v>2.0806969999999998</v>
      </c>
    </row>
    <row r="13" spans="1:8" x14ac:dyDescent="0.3">
      <c r="A13" s="3" t="s">
        <v>25</v>
      </c>
      <c r="B13" s="11">
        <v>250</v>
      </c>
      <c r="C13" s="11">
        <v>50</v>
      </c>
      <c r="D13" s="12">
        <v>9.5</v>
      </c>
      <c r="E13" s="11">
        <v>4000</v>
      </c>
      <c r="F13" s="11">
        <v>30</v>
      </c>
      <c r="G13" s="11">
        <v>20</v>
      </c>
      <c r="H13">
        <v>1.4777389999999999</v>
      </c>
    </row>
    <row r="14" spans="1:8" x14ac:dyDescent="0.3">
      <c r="A14" s="3" t="s">
        <v>26</v>
      </c>
      <c r="B14" s="11">
        <v>400</v>
      </c>
      <c r="C14" s="11">
        <v>60</v>
      </c>
      <c r="D14" s="12">
        <v>7</v>
      </c>
      <c r="E14" s="11">
        <v>3000</v>
      </c>
      <c r="F14" s="11">
        <v>40</v>
      </c>
      <c r="G14" s="11">
        <v>25</v>
      </c>
      <c r="H14">
        <v>1.3052079999999999</v>
      </c>
    </row>
    <row r="15" spans="1:8" x14ac:dyDescent="0.3">
      <c r="A15" s="3" t="s">
        <v>27</v>
      </c>
      <c r="B15" s="11">
        <v>200</v>
      </c>
      <c r="C15" s="11">
        <v>40</v>
      </c>
      <c r="D15" s="12">
        <v>6.5</v>
      </c>
      <c r="E15" s="11">
        <v>2500</v>
      </c>
      <c r="F15" s="11">
        <v>20</v>
      </c>
      <c r="G15" s="11">
        <v>15</v>
      </c>
      <c r="H15">
        <v>1.2640640000000001</v>
      </c>
    </row>
    <row r="16" spans="1:8" x14ac:dyDescent="0.3">
      <c r="A16" s="3" t="s">
        <v>28</v>
      </c>
      <c r="B16" s="11">
        <v>350</v>
      </c>
      <c r="C16" s="11">
        <v>50</v>
      </c>
      <c r="D16" s="12">
        <v>7</v>
      </c>
      <c r="E16" s="11">
        <v>2800</v>
      </c>
      <c r="F16" s="11">
        <v>30</v>
      </c>
      <c r="G16" s="11">
        <v>20</v>
      </c>
      <c r="H16">
        <v>1.2518640000000001</v>
      </c>
    </row>
    <row r="17" spans="1:8" x14ac:dyDescent="0.3">
      <c r="A17" s="3" t="s">
        <v>29</v>
      </c>
      <c r="B17" s="11">
        <v>150</v>
      </c>
      <c r="C17" s="11">
        <v>30</v>
      </c>
      <c r="D17" s="12">
        <v>6.5</v>
      </c>
      <c r="E17" s="11">
        <v>1200</v>
      </c>
      <c r="F17" s="11">
        <v>20</v>
      </c>
      <c r="G17" s="11">
        <v>15</v>
      </c>
      <c r="H17">
        <v>1.123659</v>
      </c>
    </row>
    <row r="18" spans="1:8" x14ac:dyDescent="0.3">
      <c r="A18" s="3" t="s">
        <v>30</v>
      </c>
      <c r="B18" s="11">
        <v>340</v>
      </c>
      <c r="C18" s="11">
        <v>70</v>
      </c>
      <c r="D18" s="12">
        <v>8</v>
      </c>
      <c r="E18" s="11">
        <v>4500</v>
      </c>
      <c r="F18" s="11">
        <v>50</v>
      </c>
      <c r="G18" s="11">
        <v>30</v>
      </c>
      <c r="H18">
        <v>1.070336</v>
      </c>
    </row>
    <row r="19" spans="1:8" x14ac:dyDescent="0.3">
      <c r="A19" s="3" t="s">
        <v>31</v>
      </c>
      <c r="B19" s="11">
        <v>200</v>
      </c>
      <c r="C19" s="11">
        <v>40</v>
      </c>
      <c r="D19" s="12">
        <v>6.5</v>
      </c>
      <c r="E19" s="11">
        <v>2000</v>
      </c>
      <c r="F19" s="11">
        <v>25</v>
      </c>
      <c r="G19" s="11">
        <v>20</v>
      </c>
      <c r="H19">
        <v>0.91196500000000003</v>
      </c>
    </row>
    <row r="20" spans="1:8" x14ac:dyDescent="0.3">
      <c r="A20" s="3" t="s">
        <v>32</v>
      </c>
      <c r="B20" s="11">
        <v>250</v>
      </c>
      <c r="C20" s="11">
        <v>50</v>
      </c>
      <c r="D20" s="12">
        <v>7.5</v>
      </c>
      <c r="E20" s="11">
        <v>2500</v>
      </c>
      <c r="F20" s="11">
        <v>30</v>
      </c>
      <c r="G20" s="11">
        <v>25</v>
      </c>
      <c r="H20">
        <v>0.79050299999999996</v>
      </c>
    </row>
    <row r="21" spans="1:8" x14ac:dyDescent="0.3">
      <c r="A21" s="3" t="s">
        <v>33</v>
      </c>
      <c r="B21" s="11">
        <v>200</v>
      </c>
      <c r="C21" s="11">
        <v>40</v>
      </c>
      <c r="D21" s="12">
        <v>7</v>
      </c>
      <c r="E21" s="11">
        <v>2000</v>
      </c>
      <c r="F21" s="11">
        <v>20</v>
      </c>
      <c r="G21" s="11">
        <v>15</v>
      </c>
      <c r="H21">
        <v>0.62677000000000005</v>
      </c>
    </row>
    <row r="22" spans="1:8" x14ac:dyDescent="0.3">
      <c r="A22" s="3" t="s">
        <v>34</v>
      </c>
      <c r="B22" s="11">
        <v>165</v>
      </c>
      <c r="C22" s="11">
        <v>35</v>
      </c>
      <c r="D22" s="12">
        <v>6.5</v>
      </c>
      <c r="E22" s="11">
        <v>1500</v>
      </c>
      <c r="F22" s="11">
        <v>20</v>
      </c>
      <c r="G22" s="11">
        <v>15</v>
      </c>
      <c r="H22">
        <v>0.58413999999999999</v>
      </c>
    </row>
    <row r="23" spans="1:8" x14ac:dyDescent="0.3">
      <c r="A23" s="3" t="s">
        <v>35</v>
      </c>
      <c r="B23" s="11">
        <v>275</v>
      </c>
      <c r="C23" s="11">
        <v>50</v>
      </c>
      <c r="D23" s="12">
        <v>7.5</v>
      </c>
      <c r="E23" s="11">
        <v>2800</v>
      </c>
      <c r="F23" s="11">
        <v>30</v>
      </c>
      <c r="G23" s="11">
        <v>20</v>
      </c>
      <c r="H23">
        <v>0.56277200000000005</v>
      </c>
    </row>
    <row r="24" spans="1:8" x14ac:dyDescent="0.3">
      <c r="A24" s="3" t="s">
        <v>36</v>
      </c>
      <c r="B24" s="11">
        <v>150</v>
      </c>
      <c r="C24" s="11">
        <v>30</v>
      </c>
      <c r="D24" s="12">
        <v>6.5</v>
      </c>
      <c r="E24" s="11">
        <v>1200</v>
      </c>
      <c r="F24" s="11">
        <v>20</v>
      </c>
      <c r="G24" s="11">
        <v>15</v>
      </c>
      <c r="H24">
        <v>0.51244599999999996</v>
      </c>
    </row>
    <row r="25" spans="1:8" x14ac:dyDescent="0.3">
      <c r="A25" s="3" t="s">
        <v>37</v>
      </c>
      <c r="B25" s="11">
        <v>220</v>
      </c>
      <c r="C25" s="11">
        <v>40</v>
      </c>
      <c r="D25" s="12">
        <v>6</v>
      </c>
      <c r="E25" s="11">
        <v>2000</v>
      </c>
      <c r="F25" s="11">
        <v>20</v>
      </c>
      <c r="G25" s="11">
        <v>15</v>
      </c>
      <c r="H25">
        <v>0.44841300000000001</v>
      </c>
    </row>
    <row r="26" spans="1:8" x14ac:dyDescent="0.3">
      <c r="A26" s="3" t="s">
        <v>38</v>
      </c>
      <c r="B26" s="11">
        <v>220</v>
      </c>
      <c r="C26" s="11">
        <v>40</v>
      </c>
      <c r="D26" s="12">
        <v>6.5</v>
      </c>
      <c r="E26" s="11">
        <v>2000</v>
      </c>
      <c r="F26" s="11">
        <v>25</v>
      </c>
      <c r="G26" s="11">
        <v>20</v>
      </c>
      <c r="H26">
        <v>0.30204799999999998</v>
      </c>
    </row>
    <row r="27" spans="1:8" x14ac:dyDescent="0.3">
      <c r="A27" s="3" t="s">
        <v>39</v>
      </c>
      <c r="B27" s="11">
        <v>140</v>
      </c>
      <c r="C27" s="11">
        <v>30</v>
      </c>
      <c r="D27" s="12">
        <v>6.5</v>
      </c>
      <c r="E27" s="11">
        <v>1200</v>
      </c>
      <c r="F27" s="11">
        <v>20</v>
      </c>
      <c r="G27" s="11">
        <v>15</v>
      </c>
      <c r="H27">
        <v>0.23147100000000001</v>
      </c>
    </row>
    <row r="28" spans="1:8" x14ac:dyDescent="0.3">
      <c r="A28" s="3" t="s">
        <v>40</v>
      </c>
      <c r="B28" s="11">
        <v>150</v>
      </c>
      <c r="C28" s="11">
        <v>30</v>
      </c>
      <c r="D28" s="12">
        <v>8.5</v>
      </c>
      <c r="E28" s="11">
        <v>1500</v>
      </c>
      <c r="F28" s="11">
        <v>20</v>
      </c>
      <c r="G28" s="11">
        <v>15</v>
      </c>
      <c r="H28">
        <v>0.21901699999999999</v>
      </c>
    </row>
    <row r="29" spans="1:8" x14ac:dyDescent="0.3">
      <c r="A29" s="3" t="s">
        <v>41</v>
      </c>
      <c r="B29" s="11">
        <v>210</v>
      </c>
      <c r="C29" s="11">
        <v>35</v>
      </c>
      <c r="D29" s="12">
        <v>6.5</v>
      </c>
      <c r="E29" s="11">
        <v>1800</v>
      </c>
      <c r="F29" s="11">
        <v>25</v>
      </c>
      <c r="G29" s="11">
        <v>20</v>
      </c>
      <c r="H29">
        <v>0.21901699999999999</v>
      </c>
    </row>
    <row r="30" spans="1:8" x14ac:dyDescent="0.3">
      <c r="A30" s="3" t="s">
        <v>42</v>
      </c>
      <c r="B30" s="11">
        <v>250</v>
      </c>
      <c r="C30" s="11">
        <v>50</v>
      </c>
      <c r="D30" s="12">
        <v>6.5</v>
      </c>
      <c r="E30" s="11">
        <v>2500</v>
      </c>
      <c r="F30" s="11">
        <v>30</v>
      </c>
      <c r="G30" s="11">
        <v>20</v>
      </c>
      <c r="H30">
        <v>0.20833299999999999</v>
      </c>
    </row>
    <row r="31" spans="1:8" x14ac:dyDescent="0.3">
      <c r="A31" s="3" t="s">
        <v>43</v>
      </c>
      <c r="B31" s="11">
        <v>180</v>
      </c>
      <c r="C31" s="11">
        <v>30</v>
      </c>
      <c r="D31" s="12">
        <v>6</v>
      </c>
      <c r="E31" s="11">
        <v>1500</v>
      </c>
      <c r="F31" s="11">
        <v>20</v>
      </c>
      <c r="G31" s="11">
        <v>15</v>
      </c>
      <c r="H31">
        <v>6.0720999999999997E-2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96C8A-D417-40B5-8EFB-381E78CFB24F}">
  <sheetPr codeName="Sheet71"/>
  <dimension ref="A1"/>
  <sheetViews>
    <sheetView workbookViewId="0">
      <selection activeCell="K22" sqref="K22"/>
    </sheetView>
  </sheetViews>
  <sheetFormatPr defaultRowHeight="14.4" x14ac:dyDescent="0.3"/>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67B52-67BF-43D3-8522-837F61D95618}">
  <sheetPr codeName="Sheet6"/>
  <dimension ref="A1:AE64"/>
  <sheetViews>
    <sheetView topLeftCell="A33" workbookViewId="0">
      <selection activeCell="E47" sqref="E47"/>
    </sheetView>
  </sheetViews>
  <sheetFormatPr defaultRowHeight="15" customHeight="1" x14ac:dyDescent="0.3"/>
  <cols>
    <col min="1" max="1" width="12" bestFit="1" customWidth="1"/>
    <col min="2" max="2" width="16.77734375" bestFit="1" customWidth="1"/>
    <col min="3" max="3" width="10.5546875" bestFit="1" customWidth="1"/>
    <col min="4" max="4" width="10.33203125" bestFit="1" customWidth="1"/>
    <col min="5" max="5" width="12" bestFit="1" customWidth="1"/>
    <col min="6" max="6" width="18.88671875" bestFit="1" customWidth="1"/>
    <col min="7" max="7" width="17.77734375" bestFit="1" customWidth="1"/>
    <col min="8" max="9" width="12.77734375" bestFit="1" customWidth="1"/>
    <col min="10" max="10" width="20.77734375" bestFit="1" customWidth="1"/>
    <col min="11" max="11" width="14.109375" bestFit="1" customWidth="1"/>
    <col min="12" max="12" width="13.109375" bestFit="1" customWidth="1"/>
    <col min="13" max="13" width="25.21875" bestFit="1" customWidth="1"/>
    <col min="14" max="14" width="20.33203125" bestFit="1" customWidth="1"/>
    <col min="15" max="15" width="13.77734375" bestFit="1" customWidth="1"/>
    <col min="16" max="16" width="24.6640625" bestFit="1" customWidth="1"/>
    <col min="17" max="17" width="15.5546875" bestFit="1" customWidth="1"/>
    <col min="18" max="18" width="15.33203125" bestFit="1" customWidth="1"/>
    <col min="19" max="19" width="14.21875" bestFit="1" customWidth="1"/>
    <col min="20" max="20" width="13" bestFit="1" customWidth="1"/>
    <col min="21" max="21" width="25.33203125" bestFit="1" customWidth="1"/>
    <col min="22" max="22" width="15.77734375" bestFit="1" customWidth="1"/>
    <col min="23" max="23" width="17.6640625" bestFit="1" customWidth="1"/>
    <col min="24" max="24" width="15.88671875" bestFit="1" customWidth="1"/>
    <col min="25" max="25" width="17.21875" bestFit="1" customWidth="1"/>
    <col min="26" max="26" width="16.77734375" bestFit="1" customWidth="1"/>
    <col min="27" max="27" width="16.109375" bestFit="1" customWidth="1"/>
    <col min="28" max="28" width="13.77734375" bestFit="1" customWidth="1"/>
    <col min="29" max="29" width="17.6640625" bestFit="1" customWidth="1"/>
    <col min="30" max="30" width="17.21875" bestFit="1" customWidth="1"/>
    <col min="31" max="31" width="42.88671875" bestFit="1" customWidth="1"/>
  </cols>
  <sheetData>
    <row r="1" spans="1:13" ht="50.25" customHeight="1" x14ac:dyDescent="0.3">
      <c r="A1" s="2" t="s">
        <v>0</v>
      </c>
      <c r="B1" s="2" t="s">
        <v>1</v>
      </c>
      <c r="C1" s="2" t="s">
        <v>4</v>
      </c>
      <c r="D1" s="2" t="s">
        <v>5</v>
      </c>
      <c r="E1" s="2" t="s">
        <v>6</v>
      </c>
      <c r="F1" s="2" t="s">
        <v>7</v>
      </c>
      <c r="G1" s="34" t="s">
        <v>62</v>
      </c>
      <c r="H1" s="5"/>
      <c r="I1" s="5"/>
      <c r="J1" s="5"/>
      <c r="K1" s="5"/>
      <c r="L1" s="5"/>
      <c r="M1" s="5"/>
    </row>
    <row r="2" spans="1:13" ht="14.4" x14ac:dyDescent="0.3">
      <c r="A2" s="3" t="s">
        <v>14</v>
      </c>
      <c r="B2" s="3">
        <v>1.89</v>
      </c>
      <c r="C2" s="3">
        <v>8.875</v>
      </c>
      <c r="D2" s="3">
        <v>540</v>
      </c>
      <c r="E2" s="3">
        <v>168.6</v>
      </c>
      <c r="F2" s="3">
        <v>4</v>
      </c>
      <c r="G2">
        <v>8.7198480000000007</v>
      </c>
      <c r="H2" s="6"/>
      <c r="I2" s="6"/>
      <c r="K2" s="6"/>
      <c r="L2" s="6"/>
      <c r="M2" s="6"/>
    </row>
    <row r="3" spans="1:13" ht="14.4" x14ac:dyDescent="0.3">
      <c r="A3" s="3" t="s">
        <v>15</v>
      </c>
      <c r="B3" s="3">
        <v>0.64</v>
      </c>
      <c r="C3" s="3">
        <v>8.75</v>
      </c>
      <c r="D3" s="3">
        <v>748</v>
      </c>
      <c r="E3" s="3">
        <v>149</v>
      </c>
      <c r="F3" s="3">
        <v>3.5</v>
      </c>
      <c r="G3">
        <v>6.3646929999999999</v>
      </c>
      <c r="H3" s="6"/>
      <c r="I3" s="6"/>
      <c r="K3" s="6"/>
      <c r="L3" s="6"/>
      <c r="M3" s="6"/>
    </row>
    <row r="4" spans="1:13" ht="14.4" x14ac:dyDescent="0.3">
      <c r="A4" s="3" t="s">
        <v>16</v>
      </c>
      <c r="B4" s="3">
        <v>1.28</v>
      </c>
      <c r="C4" s="3">
        <v>10.25</v>
      </c>
      <c r="D4" s="4">
        <v>1099</v>
      </c>
      <c r="E4" s="3">
        <v>119.5</v>
      </c>
      <c r="F4" s="3">
        <v>3.8</v>
      </c>
      <c r="G4">
        <v>4.5578760000000003</v>
      </c>
      <c r="H4" s="6"/>
      <c r="I4" s="6"/>
      <c r="K4" s="6"/>
      <c r="L4" s="6"/>
      <c r="M4" s="6"/>
    </row>
    <row r="5" spans="1:13" ht="14.4" x14ac:dyDescent="0.3">
      <c r="A5" s="3" t="s">
        <v>17</v>
      </c>
      <c r="B5" s="3">
        <v>1.1599999999999999</v>
      </c>
      <c r="C5" s="3">
        <v>6</v>
      </c>
      <c r="D5" s="4">
        <v>1049</v>
      </c>
      <c r="E5" s="3">
        <v>155</v>
      </c>
      <c r="F5" s="3">
        <v>4.2</v>
      </c>
      <c r="G5">
        <v>2.9505919999999999</v>
      </c>
      <c r="H5" s="6"/>
      <c r="I5" s="6"/>
      <c r="K5" s="6"/>
      <c r="L5" s="6"/>
      <c r="M5" s="6"/>
    </row>
    <row r="6" spans="1:13" ht="14.4" x14ac:dyDescent="0.3">
      <c r="A6" s="3" t="s">
        <v>18</v>
      </c>
      <c r="B6" s="3">
        <v>2.0499999999999998</v>
      </c>
      <c r="C6" s="3">
        <v>8.5</v>
      </c>
      <c r="D6" s="3">
        <v>669</v>
      </c>
      <c r="E6" s="3">
        <v>177.6</v>
      </c>
      <c r="F6" s="3">
        <v>4.5</v>
      </c>
      <c r="G6">
        <v>2.7785500000000001</v>
      </c>
      <c r="H6" s="6"/>
      <c r="I6" s="6"/>
      <c r="K6" s="6"/>
      <c r="L6" s="6"/>
      <c r="M6" s="6"/>
    </row>
    <row r="7" spans="1:13" ht="14.4" x14ac:dyDescent="0.3">
      <c r="A7" s="3" t="s">
        <v>19</v>
      </c>
      <c r="B7" s="3">
        <v>0.85</v>
      </c>
      <c r="C7" s="3">
        <v>8</v>
      </c>
      <c r="D7" s="3">
        <v>908</v>
      </c>
      <c r="E7" s="3">
        <v>110</v>
      </c>
      <c r="F7" s="3">
        <v>3.7</v>
      </c>
      <c r="G7">
        <v>2.3452320000000002</v>
      </c>
      <c r="H7" s="6"/>
      <c r="I7" s="6"/>
      <c r="K7" s="6"/>
      <c r="L7" s="6"/>
      <c r="M7" s="6"/>
    </row>
    <row r="8" spans="1:13" ht="14.4" x14ac:dyDescent="0.3">
      <c r="A8" s="3" t="s">
        <v>20</v>
      </c>
      <c r="B8" s="3">
        <v>0.75</v>
      </c>
      <c r="C8" s="3">
        <v>6.25</v>
      </c>
      <c r="D8" s="3">
        <v>622</v>
      </c>
      <c r="E8" s="3">
        <v>159.1</v>
      </c>
      <c r="F8" s="3">
        <v>4.3</v>
      </c>
      <c r="G8">
        <v>2.3418800000000002</v>
      </c>
      <c r="H8" s="6"/>
      <c r="I8" s="6"/>
      <c r="K8" s="6"/>
      <c r="L8" s="6"/>
      <c r="M8" s="6"/>
    </row>
    <row r="9" spans="1:13" ht="14.4" x14ac:dyDescent="0.3">
      <c r="A9" s="3" t="s">
        <v>21</v>
      </c>
      <c r="B9" s="3">
        <v>0.84</v>
      </c>
      <c r="C9" s="3">
        <v>6</v>
      </c>
      <c r="D9" s="4">
        <v>2007</v>
      </c>
      <c r="E9" s="3">
        <v>96.7</v>
      </c>
      <c r="F9" s="3">
        <v>2.8</v>
      </c>
      <c r="G9">
        <v>2.2886769999999999</v>
      </c>
      <c r="H9" s="6"/>
      <c r="I9" s="6"/>
      <c r="K9" s="6"/>
      <c r="L9" s="6"/>
      <c r="M9" s="6"/>
    </row>
    <row r="10" spans="1:13" ht="14.4" x14ac:dyDescent="0.3">
      <c r="A10" s="3" t="s">
        <v>22</v>
      </c>
      <c r="B10" s="3">
        <v>0.95</v>
      </c>
      <c r="C10" s="3">
        <v>8.25</v>
      </c>
      <c r="D10" s="3">
        <v>762</v>
      </c>
      <c r="E10" s="3">
        <v>107</v>
      </c>
      <c r="F10" s="3">
        <v>4.0999999999999996</v>
      </c>
      <c r="G10">
        <v>2.2089029999999998</v>
      </c>
      <c r="H10" s="6"/>
      <c r="I10" s="6"/>
      <c r="K10" s="6"/>
      <c r="L10" s="6"/>
      <c r="M10" s="6"/>
    </row>
    <row r="11" spans="1:13" ht="14.4" x14ac:dyDescent="0.3">
      <c r="A11" s="3" t="s">
        <v>23</v>
      </c>
      <c r="B11" s="3">
        <v>1.1100000000000001</v>
      </c>
      <c r="C11" s="3">
        <v>8.25</v>
      </c>
      <c r="D11" s="4">
        <v>1026</v>
      </c>
      <c r="E11" s="3">
        <v>103</v>
      </c>
      <c r="F11" s="3">
        <v>4</v>
      </c>
      <c r="G11">
        <v>2.1304310000000002</v>
      </c>
      <c r="H11" s="6"/>
      <c r="I11" s="6"/>
      <c r="K11" s="6"/>
      <c r="L11" s="6"/>
      <c r="M11" s="6"/>
    </row>
    <row r="12" spans="1:13" ht="14.4" x14ac:dyDescent="0.3">
      <c r="A12" s="3" t="s">
        <v>24</v>
      </c>
      <c r="B12" s="3">
        <v>0.9</v>
      </c>
      <c r="C12" s="3">
        <v>8</v>
      </c>
      <c r="D12" s="4">
        <v>1433</v>
      </c>
      <c r="E12" s="3">
        <v>102.4</v>
      </c>
      <c r="F12" s="3">
        <v>4.2</v>
      </c>
      <c r="G12">
        <v>2.0806969999999998</v>
      </c>
      <c r="H12" s="6"/>
      <c r="I12" s="6"/>
      <c r="K12" s="6"/>
      <c r="L12" s="6"/>
      <c r="M12" s="6"/>
    </row>
    <row r="13" spans="1:13" ht="14.4" x14ac:dyDescent="0.3">
      <c r="A13" s="3" t="s">
        <v>25</v>
      </c>
      <c r="B13" s="3">
        <v>0.61</v>
      </c>
      <c r="C13" s="3">
        <v>7</v>
      </c>
      <c r="D13" s="3">
        <v>629</v>
      </c>
      <c r="E13" s="3">
        <v>122</v>
      </c>
      <c r="F13" s="3">
        <v>4</v>
      </c>
      <c r="G13">
        <v>1.4777389999999999</v>
      </c>
      <c r="H13" s="6"/>
      <c r="I13" s="6"/>
      <c r="K13" s="6"/>
      <c r="L13" s="6"/>
      <c r="M13" s="6"/>
    </row>
    <row r="14" spans="1:13" ht="14.4" x14ac:dyDescent="0.3">
      <c r="A14" s="3" t="s">
        <v>26</v>
      </c>
      <c r="B14" s="3">
        <v>0.56999999999999995</v>
      </c>
      <c r="C14" s="3">
        <v>9.5</v>
      </c>
      <c r="D14" s="3">
        <v>620</v>
      </c>
      <c r="E14" s="3">
        <v>152.4</v>
      </c>
      <c r="F14" s="3">
        <v>4.5</v>
      </c>
      <c r="G14">
        <v>1.3052079999999999</v>
      </c>
      <c r="H14" s="6"/>
      <c r="I14" s="6"/>
      <c r="K14" s="6"/>
      <c r="L14" s="6"/>
      <c r="M14" s="6"/>
    </row>
    <row r="15" spans="1:13" ht="14.4" x14ac:dyDescent="0.3">
      <c r="A15" s="3" t="s">
        <v>27</v>
      </c>
      <c r="B15" s="3">
        <v>0.35</v>
      </c>
      <c r="C15" s="3">
        <v>9.3000000000000007</v>
      </c>
      <c r="D15" s="3">
        <v>733</v>
      </c>
      <c r="E15" s="3">
        <v>113</v>
      </c>
      <c r="F15" s="3">
        <v>4</v>
      </c>
      <c r="G15">
        <v>1.2640640000000001</v>
      </c>
      <c r="H15" s="6"/>
      <c r="I15" s="6"/>
      <c r="K15" s="6"/>
      <c r="L15" s="6"/>
      <c r="M15" s="6"/>
    </row>
    <row r="16" spans="1:13" ht="14.4" x14ac:dyDescent="0.3">
      <c r="A16" s="3" t="s">
        <v>28</v>
      </c>
      <c r="B16" s="3">
        <v>0.49</v>
      </c>
      <c r="C16" s="3">
        <v>7.7750000000000004</v>
      </c>
      <c r="D16" s="4">
        <v>1101</v>
      </c>
      <c r="E16" s="3">
        <v>109</v>
      </c>
      <c r="F16" s="3">
        <v>4.2</v>
      </c>
      <c r="G16">
        <v>1.2518640000000001</v>
      </c>
      <c r="H16" s="6"/>
      <c r="I16" s="6"/>
      <c r="K16" s="6"/>
      <c r="L16" s="6"/>
      <c r="M16" s="6"/>
    </row>
    <row r="17" spans="1:13" ht="14.4" x14ac:dyDescent="0.3">
      <c r="A17" s="3" t="s">
        <v>29</v>
      </c>
      <c r="B17" s="3">
        <v>0.43</v>
      </c>
      <c r="C17" s="3">
        <v>7.75</v>
      </c>
      <c r="D17" s="4">
        <v>1517</v>
      </c>
      <c r="E17" s="3">
        <v>89.4</v>
      </c>
      <c r="F17" s="3">
        <v>3.2</v>
      </c>
      <c r="G17">
        <v>1.123659</v>
      </c>
      <c r="H17" s="6"/>
      <c r="I17" s="6"/>
      <c r="K17" s="6"/>
      <c r="L17" s="6"/>
      <c r="M17" s="6"/>
    </row>
    <row r="18" spans="1:13" ht="14.4" x14ac:dyDescent="0.3">
      <c r="A18" s="3" t="s">
        <v>30</v>
      </c>
      <c r="B18" s="3">
        <v>0.36</v>
      </c>
      <c r="C18" s="3">
        <v>8.25</v>
      </c>
      <c r="D18" s="3">
        <v>369</v>
      </c>
      <c r="E18" s="3">
        <v>144.6</v>
      </c>
      <c r="F18" s="3">
        <v>4.2</v>
      </c>
      <c r="G18">
        <v>1.070336</v>
      </c>
      <c r="H18" s="6"/>
      <c r="I18" s="6"/>
      <c r="K18" s="6"/>
      <c r="L18" s="6"/>
      <c r="M18" s="6"/>
    </row>
    <row r="19" spans="1:13" ht="14.4" x14ac:dyDescent="0.3">
      <c r="A19" s="3" t="s">
        <v>31</v>
      </c>
      <c r="B19" s="3">
        <v>0.32</v>
      </c>
      <c r="C19" s="3">
        <v>8.4909999999999997</v>
      </c>
      <c r="D19" s="4">
        <v>1800</v>
      </c>
      <c r="E19" s="3">
        <v>96.5</v>
      </c>
      <c r="F19" s="3">
        <v>3.4</v>
      </c>
      <c r="G19">
        <v>0.91196500000000003</v>
      </c>
      <c r="H19" s="6"/>
      <c r="I19" s="6"/>
      <c r="K19" s="6"/>
      <c r="L19" s="6"/>
      <c r="M19" s="6"/>
    </row>
    <row r="20" spans="1:13" ht="14.4" x14ac:dyDescent="0.3">
      <c r="A20" s="3" t="s">
        <v>32</v>
      </c>
      <c r="B20" s="3">
        <v>0.34</v>
      </c>
      <c r="C20" s="3">
        <v>8</v>
      </c>
      <c r="D20" s="3">
        <v>730</v>
      </c>
      <c r="E20" s="3">
        <v>128.69999999999999</v>
      </c>
      <c r="F20" s="3">
        <v>4.3</v>
      </c>
      <c r="G20">
        <v>0.79050299999999996</v>
      </c>
      <c r="H20" s="6"/>
      <c r="I20" s="6"/>
      <c r="K20" s="6"/>
      <c r="L20" s="6"/>
      <c r="M20" s="6"/>
    </row>
    <row r="21" spans="1:13" ht="14.4" x14ac:dyDescent="0.3">
      <c r="A21" s="3" t="s">
        <v>33</v>
      </c>
      <c r="B21" s="3">
        <v>0.45</v>
      </c>
      <c r="C21" s="3">
        <v>7.5</v>
      </c>
      <c r="D21" s="3">
        <v>428</v>
      </c>
      <c r="E21" s="3">
        <v>100.6</v>
      </c>
      <c r="F21" s="3">
        <v>4</v>
      </c>
      <c r="G21">
        <v>0.62677000000000005</v>
      </c>
      <c r="H21" s="6"/>
      <c r="I21" s="6"/>
      <c r="K21" s="6"/>
      <c r="L21" s="6"/>
      <c r="M21" s="6"/>
    </row>
    <row r="22" spans="1:13" ht="14.4" x14ac:dyDescent="0.3">
      <c r="A22" s="3" t="s">
        <v>34</v>
      </c>
      <c r="B22" s="3">
        <v>0.37</v>
      </c>
      <c r="C22" s="3">
        <v>7</v>
      </c>
      <c r="D22" s="3">
        <v>610</v>
      </c>
      <c r="E22" s="3">
        <v>92</v>
      </c>
      <c r="F22" s="3">
        <v>3.6</v>
      </c>
      <c r="G22">
        <v>0.58413999999999999</v>
      </c>
      <c r="H22" s="6"/>
      <c r="I22" s="6"/>
      <c r="K22" s="6"/>
      <c r="L22" s="6"/>
      <c r="M22" s="6"/>
    </row>
    <row r="23" spans="1:13" ht="14.4" x14ac:dyDescent="0.3">
      <c r="A23" s="3" t="s">
        <v>35</v>
      </c>
      <c r="B23" s="3">
        <v>0.38</v>
      </c>
      <c r="C23" s="3">
        <v>0</v>
      </c>
      <c r="D23" s="3">
        <v>522</v>
      </c>
      <c r="E23" s="3">
        <v>125.5</v>
      </c>
      <c r="F23" s="3">
        <v>4.2</v>
      </c>
      <c r="G23">
        <v>0.56277200000000005</v>
      </c>
      <c r="H23" s="6"/>
      <c r="I23" s="6"/>
      <c r="K23" s="6"/>
      <c r="L23" s="6"/>
      <c r="M23" s="6"/>
    </row>
    <row r="24" spans="1:13" ht="14.4" x14ac:dyDescent="0.3">
      <c r="A24" s="3" t="s">
        <v>36</v>
      </c>
      <c r="B24" s="3">
        <v>0.4</v>
      </c>
      <c r="C24" s="3">
        <v>6.75</v>
      </c>
      <c r="D24" s="3">
        <v>897</v>
      </c>
      <c r="E24" s="3">
        <v>89.7</v>
      </c>
      <c r="F24" s="3">
        <v>3.7</v>
      </c>
      <c r="G24">
        <v>0.51244599999999996</v>
      </c>
      <c r="H24" s="6"/>
      <c r="I24" s="6"/>
      <c r="K24" s="6"/>
      <c r="L24" s="6"/>
      <c r="M24" s="6"/>
    </row>
    <row r="25" spans="1:13" ht="14.4" x14ac:dyDescent="0.3">
      <c r="A25" s="3" t="s">
        <v>37</v>
      </c>
      <c r="B25" s="3">
        <v>0.95</v>
      </c>
      <c r="C25" s="3">
        <v>8.25</v>
      </c>
      <c r="D25" s="3">
        <v>712</v>
      </c>
      <c r="E25" s="3">
        <v>118.5</v>
      </c>
      <c r="F25" s="3">
        <v>3.9</v>
      </c>
      <c r="G25">
        <v>0.44841300000000001</v>
      </c>
      <c r="H25" s="6"/>
      <c r="I25" s="6"/>
      <c r="K25" s="6"/>
      <c r="L25" s="6"/>
      <c r="M25" s="6"/>
    </row>
    <row r="26" spans="1:13" ht="14.4" x14ac:dyDescent="0.3">
      <c r="A26" s="3" t="s">
        <v>38</v>
      </c>
      <c r="B26" s="3">
        <v>0.34</v>
      </c>
      <c r="C26" s="3">
        <v>7.85</v>
      </c>
      <c r="D26" s="4">
        <v>1590</v>
      </c>
      <c r="E26" s="3">
        <v>94.8</v>
      </c>
      <c r="F26" s="3">
        <v>3.8</v>
      </c>
      <c r="G26">
        <v>0.30204799999999998</v>
      </c>
      <c r="H26" s="6"/>
      <c r="I26" s="6"/>
      <c r="K26" s="6"/>
      <c r="L26" s="6"/>
      <c r="M26" s="6"/>
    </row>
    <row r="27" spans="1:13" ht="14.4" x14ac:dyDescent="0.3">
      <c r="A27" s="3" t="s">
        <v>39</v>
      </c>
      <c r="B27" s="3">
        <v>0.42</v>
      </c>
      <c r="C27" s="3">
        <v>5.5</v>
      </c>
      <c r="D27" s="4">
        <v>1332</v>
      </c>
      <c r="E27" s="3">
        <v>92</v>
      </c>
      <c r="F27" s="3">
        <v>3.5</v>
      </c>
      <c r="G27">
        <v>0.23147100000000001</v>
      </c>
      <c r="H27" s="6"/>
      <c r="I27" s="6"/>
      <c r="K27" s="6"/>
      <c r="L27" s="6"/>
      <c r="M27" s="6"/>
    </row>
    <row r="28" spans="1:13" ht="14.4" x14ac:dyDescent="0.3">
      <c r="A28" s="3" t="s">
        <v>40</v>
      </c>
      <c r="B28" s="3">
        <v>0.79</v>
      </c>
      <c r="C28" s="3">
        <v>7</v>
      </c>
      <c r="D28" s="3">
        <v>860</v>
      </c>
      <c r="E28" s="3">
        <v>100.2</v>
      </c>
      <c r="F28" s="3">
        <v>4.0999999999999996</v>
      </c>
      <c r="G28">
        <v>0.21901699999999999</v>
      </c>
      <c r="H28" s="6"/>
      <c r="I28" s="6"/>
      <c r="K28" s="6"/>
      <c r="L28" s="6"/>
      <c r="M28" s="6"/>
    </row>
    <row r="29" spans="1:13" ht="14.4" x14ac:dyDescent="0.3">
      <c r="A29" s="3" t="s">
        <v>41</v>
      </c>
      <c r="B29" s="3">
        <v>0.33</v>
      </c>
      <c r="C29" s="3">
        <v>7</v>
      </c>
      <c r="D29" s="4">
        <v>1272</v>
      </c>
      <c r="E29" s="3">
        <v>93.5</v>
      </c>
      <c r="F29" s="3">
        <v>3.8</v>
      </c>
      <c r="G29">
        <v>0.21901699999999999</v>
      </c>
      <c r="H29" s="6"/>
      <c r="I29" s="6"/>
      <c r="K29" s="6"/>
      <c r="L29" s="6"/>
      <c r="M29" s="6"/>
    </row>
    <row r="30" spans="1:13" ht="14.4" x14ac:dyDescent="0.3">
      <c r="A30" s="3" t="s">
        <v>42</v>
      </c>
      <c r="B30" s="3">
        <v>0.25</v>
      </c>
      <c r="C30" s="3">
        <v>8.125</v>
      </c>
      <c r="D30" s="3">
        <v>708</v>
      </c>
      <c r="E30" s="3">
        <v>95.3</v>
      </c>
      <c r="F30" s="3">
        <v>4</v>
      </c>
      <c r="G30">
        <v>0.20833299999999999</v>
      </c>
      <c r="H30" s="6"/>
      <c r="I30" s="6"/>
      <c r="K30" s="6"/>
      <c r="L30" s="6"/>
      <c r="M30" s="6"/>
    </row>
    <row r="31" spans="1:13" ht="14.4" x14ac:dyDescent="0.3">
      <c r="A31" s="3" t="s">
        <v>43</v>
      </c>
      <c r="B31" s="3">
        <v>0.21</v>
      </c>
      <c r="C31" s="3">
        <v>6.3</v>
      </c>
      <c r="D31" s="3">
        <v>146</v>
      </c>
      <c r="E31" s="3">
        <v>102</v>
      </c>
      <c r="F31" s="3">
        <v>3.9</v>
      </c>
      <c r="G31">
        <v>6.0720999999999997E-2</v>
      </c>
      <c r="H31" s="6"/>
      <c r="I31" s="6"/>
      <c r="K31" s="6"/>
      <c r="L31" s="6"/>
      <c r="M31" s="6"/>
    </row>
    <row r="33" spans="1:31" ht="15" customHeight="1" x14ac:dyDescent="0.3">
      <c r="A33" s="2" t="s">
        <v>0</v>
      </c>
      <c r="B33" s="3" t="s">
        <v>14</v>
      </c>
      <c r="C33" s="3" t="s">
        <v>15</v>
      </c>
      <c r="D33" s="3" t="s">
        <v>16</v>
      </c>
      <c r="E33" s="3" t="s">
        <v>17</v>
      </c>
      <c r="F33" s="3" t="s">
        <v>18</v>
      </c>
      <c r="G33" s="3" t="s">
        <v>19</v>
      </c>
      <c r="H33" s="3" t="s">
        <v>20</v>
      </c>
      <c r="I33" s="3" t="s">
        <v>21</v>
      </c>
      <c r="J33" s="3" t="s">
        <v>22</v>
      </c>
      <c r="K33" s="3" t="s">
        <v>23</v>
      </c>
      <c r="L33" s="3" t="s">
        <v>24</v>
      </c>
      <c r="M33" s="3" t="s">
        <v>25</v>
      </c>
      <c r="N33" s="3" t="s">
        <v>26</v>
      </c>
      <c r="O33" s="3" t="s">
        <v>27</v>
      </c>
      <c r="P33" s="3" t="s">
        <v>28</v>
      </c>
      <c r="Q33" s="3" t="s">
        <v>29</v>
      </c>
      <c r="R33" s="3" t="s">
        <v>30</v>
      </c>
      <c r="S33" s="3" t="s">
        <v>31</v>
      </c>
      <c r="T33" s="3" t="s">
        <v>32</v>
      </c>
      <c r="U33" s="3" t="s">
        <v>33</v>
      </c>
      <c r="V33" s="3" t="s">
        <v>34</v>
      </c>
      <c r="W33" s="3" t="s">
        <v>35</v>
      </c>
      <c r="X33" s="3" t="s">
        <v>36</v>
      </c>
      <c r="Y33" s="3" t="s">
        <v>37</v>
      </c>
      <c r="Z33" s="3" t="s">
        <v>38</v>
      </c>
      <c r="AA33" s="3" t="s">
        <v>39</v>
      </c>
      <c r="AB33" s="3" t="s">
        <v>40</v>
      </c>
      <c r="AC33" s="3" t="s">
        <v>41</v>
      </c>
      <c r="AD33" s="3" t="s">
        <v>42</v>
      </c>
      <c r="AE33" s="3" t="s">
        <v>43</v>
      </c>
    </row>
    <row r="34" spans="1:31" ht="15" customHeight="1" x14ac:dyDescent="0.3">
      <c r="A34" s="2" t="s">
        <v>1</v>
      </c>
      <c r="B34" s="3">
        <v>1.89</v>
      </c>
      <c r="C34" s="3">
        <v>0.64</v>
      </c>
      <c r="D34" s="3">
        <v>1.28</v>
      </c>
      <c r="E34" s="3">
        <v>1.1599999999999999</v>
      </c>
      <c r="F34" s="3">
        <v>2.0499999999999998</v>
      </c>
      <c r="G34" s="3">
        <v>0.85</v>
      </c>
      <c r="H34" s="3">
        <v>0.75</v>
      </c>
      <c r="I34" s="3">
        <v>0.84</v>
      </c>
      <c r="J34" s="3">
        <v>0.95</v>
      </c>
      <c r="K34" s="3">
        <v>1.1100000000000001</v>
      </c>
      <c r="L34" s="3">
        <v>0.9</v>
      </c>
      <c r="M34" s="3">
        <v>0.61</v>
      </c>
      <c r="N34" s="3">
        <v>0.56999999999999995</v>
      </c>
      <c r="O34" s="3">
        <v>0.35</v>
      </c>
      <c r="P34" s="3">
        <v>0.49</v>
      </c>
      <c r="Q34" s="3">
        <v>0.43</v>
      </c>
      <c r="R34" s="3">
        <v>0.36</v>
      </c>
      <c r="S34" s="3">
        <v>0.32</v>
      </c>
      <c r="T34" s="3">
        <v>0.34</v>
      </c>
      <c r="U34" s="3">
        <v>0.45</v>
      </c>
      <c r="V34" s="3">
        <v>0.37</v>
      </c>
      <c r="W34" s="3">
        <v>0.38</v>
      </c>
      <c r="X34" s="3">
        <v>0.4</v>
      </c>
      <c r="Y34" s="3">
        <v>0.95</v>
      </c>
      <c r="Z34" s="3">
        <v>0.34</v>
      </c>
      <c r="AA34" s="3">
        <v>0.42</v>
      </c>
      <c r="AB34" s="3">
        <v>0.79</v>
      </c>
      <c r="AC34" s="3">
        <v>0.33</v>
      </c>
      <c r="AD34" s="3">
        <v>0.25</v>
      </c>
      <c r="AE34" s="3">
        <v>0.21</v>
      </c>
    </row>
    <row r="35" spans="1:31" ht="15" customHeight="1" x14ac:dyDescent="0.3">
      <c r="A35" s="2" t="s">
        <v>4</v>
      </c>
      <c r="B35" s="3">
        <v>8.875</v>
      </c>
      <c r="C35" s="3">
        <v>8.75</v>
      </c>
      <c r="D35" s="3">
        <v>10.25</v>
      </c>
      <c r="E35" s="3">
        <v>6</v>
      </c>
      <c r="F35" s="3">
        <v>8.5</v>
      </c>
      <c r="G35" s="3">
        <v>8</v>
      </c>
      <c r="H35" s="3">
        <v>6.25</v>
      </c>
      <c r="I35" s="3">
        <v>6</v>
      </c>
      <c r="J35" s="3">
        <v>8.25</v>
      </c>
      <c r="K35" s="3">
        <v>8.25</v>
      </c>
      <c r="L35" s="3">
        <v>8</v>
      </c>
      <c r="M35" s="3">
        <v>7</v>
      </c>
      <c r="N35" s="3">
        <v>9.5</v>
      </c>
      <c r="O35" s="3">
        <v>9.3000000000000007</v>
      </c>
      <c r="P35" s="3">
        <v>7.7750000000000004</v>
      </c>
      <c r="Q35" s="3">
        <v>7.75</v>
      </c>
      <c r="R35" s="3">
        <v>8.25</v>
      </c>
      <c r="S35" s="3">
        <v>8.4909999999999997</v>
      </c>
      <c r="T35" s="3">
        <v>8</v>
      </c>
      <c r="U35" s="3">
        <v>7.5</v>
      </c>
      <c r="V35" s="3">
        <v>7</v>
      </c>
      <c r="W35" s="3">
        <v>0</v>
      </c>
      <c r="X35" s="3">
        <v>6.75</v>
      </c>
      <c r="Y35" s="3">
        <v>8.25</v>
      </c>
      <c r="Z35" s="3">
        <v>7.85</v>
      </c>
      <c r="AA35" s="3">
        <v>5.5</v>
      </c>
      <c r="AB35" s="3">
        <v>7</v>
      </c>
      <c r="AC35" s="3">
        <v>7</v>
      </c>
      <c r="AD35" s="3">
        <v>8.125</v>
      </c>
      <c r="AE35" s="3">
        <v>6.3</v>
      </c>
    </row>
    <row r="36" spans="1:31" ht="15" customHeight="1" x14ac:dyDescent="0.3">
      <c r="A36" s="2" t="s">
        <v>5</v>
      </c>
      <c r="B36" s="3">
        <v>540</v>
      </c>
      <c r="C36" s="3">
        <v>748</v>
      </c>
      <c r="D36" s="4">
        <v>1099</v>
      </c>
      <c r="E36" s="4">
        <v>1049</v>
      </c>
      <c r="F36" s="3">
        <v>669</v>
      </c>
      <c r="G36" s="3">
        <v>908</v>
      </c>
      <c r="H36" s="3">
        <v>622</v>
      </c>
      <c r="I36" s="4">
        <v>2007</v>
      </c>
      <c r="J36" s="3">
        <v>762</v>
      </c>
      <c r="K36" s="4">
        <v>1026</v>
      </c>
      <c r="L36" s="4">
        <v>1433</v>
      </c>
      <c r="M36" s="3">
        <v>629</v>
      </c>
      <c r="N36" s="3">
        <v>620</v>
      </c>
      <c r="O36" s="3">
        <v>733</v>
      </c>
      <c r="P36" s="4">
        <v>1101</v>
      </c>
      <c r="Q36" s="4">
        <v>1517</v>
      </c>
      <c r="R36" s="3">
        <v>369</v>
      </c>
      <c r="S36" s="4">
        <v>1800</v>
      </c>
      <c r="T36" s="3">
        <v>730</v>
      </c>
      <c r="U36" s="3">
        <v>428</v>
      </c>
      <c r="V36" s="3">
        <v>610</v>
      </c>
      <c r="W36" s="3">
        <v>522</v>
      </c>
      <c r="X36" s="3">
        <v>897</v>
      </c>
      <c r="Y36" s="3">
        <v>712</v>
      </c>
      <c r="Z36" s="4">
        <v>1590</v>
      </c>
      <c r="AA36" s="4">
        <v>1332</v>
      </c>
      <c r="AB36" s="3">
        <v>860</v>
      </c>
      <c r="AC36" s="4">
        <v>1272</v>
      </c>
      <c r="AD36" s="3">
        <v>708</v>
      </c>
      <c r="AE36" s="3">
        <v>146</v>
      </c>
    </row>
    <row r="37" spans="1:31" ht="15" customHeight="1" x14ac:dyDescent="0.3">
      <c r="A37" s="2" t="s">
        <v>6</v>
      </c>
      <c r="B37" s="3">
        <v>168.6</v>
      </c>
      <c r="C37" s="3">
        <v>149</v>
      </c>
      <c r="D37" s="3">
        <v>119.5</v>
      </c>
      <c r="E37" s="3">
        <v>155</v>
      </c>
      <c r="F37" s="3">
        <v>177.6</v>
      </c>
      <c r="G37" s="3">
        <v>110</v>
      </c>
      <c r="H37" s="3">
        <v>159.1</v>
      </c>
      <c r="I37" s="3">
        <v>96.7</v>
      </c>
      <c r="J37" s="3">
        <v>107</v>
      </c>
      <c r="K37" s="3">
        <v>103</v>
      </c>
      <c r="L37" s="3">
        <v>102.4</v>
      </c>
      <c r="M37" s="3">
        <v>122</v>
      </c>
      <c r="N37" s="3">
        <v>152.4</v>
      </c>
      <c r="O37" s="3">
        <v>113</v>
      </c>
      <c r="P37" s="3">
        <v>109</v>
      </c>
      <c r="Q37" s="3">
        <v>89.4</v>
      </c>
      <c r="R37" s="3">
        <v>144.6</v>
      </c>
      <c r="S37" s="3">
        <v>96.5</v>
      </c>
      <c r="T37" s="3">
        <v>128.69999999999999</v>
      </c>
      <c r="U37" s="3">
        <v>100.6</v>
      </c>
      <c r="V37" s="3">
        <v>92</v>
      </c>
      <c r="W37" s="3">
        <v>125.5</v>
      </c>
      <c r="X37" s="3">
        <v>89.7</v>
      </c>
      <c r="Y37" s="3">
        <v>118.5</v>
      </c>
      <c r="Z37" s="3">
        <v>94.8</v>
      </c>
      <c r="AA37" s="3">
        <v>92</v>
      </c>
      <c r="AB37" s="3">
        <v>100.2</v>
      </c>
      <c r="AC37" s="3">
        <v>93.5</v>
      </c>
      <c r="AD37" s="3">
        <v>95.3</v>
      </c>
      <c r="AE37" s="3">
        <v>102</v>
      </c>
    </row>
    <row r="38" spans="1:31" ht="15" customHeight="1" x14ac:dyDescent="0.3">
      <c r="A38" s="2" t="s">
        <v>7</v>
      </c>
      <c r="B38" s="3">
        <v>4</v>
      </c>
      <c r="C38" s="3">
        <v>3.5</v>
      </c>
      <c r="D38" s="3">
        <v>3.8</v>
      </c>
      <c r="E38" s="3">
        <v>4.2</v>
      </c>
      <c r="F38" s="3">
        <v>4.5</v>
      </c>
      <c r="G38" s="3">
        <v>3.7</v>
      </c>
      <c r="H38" s="3">
        <v>4.3</v>
      </c>
      <c r="I38" s="3">
        <v>2.8</v>
      </c>
      <c r="J38" s="3">
        <v>4.0999999999999996</v>
      </c>
      <c r="K38" s="3">
        <v>4</v>
      </c>
      <c r="L38" s="3">
        <v>4.2</v>
      </c>
      <c r="M38" s="3">
        <v>4</v>
      </c>
      <c r="N38" s="3">
        <v>4.5</v>
      </c>
      <c r="O38" s="3">
        <v>4</v>
      </c>
      <c r="P38" s="3">
        <v>4.2</v>
      </c>
      <c r="Q38" s="3">
        <v>3.2</v>
      </c>
      <c r="R38" s="3">
        <v>4.2</v>
      </c>
      <c r="S38" s="3">
        <v>3.4</v>
      </c>
      <c r="T38" s="3">
        <v>4.3</v>
      </c>
      <c r="U38" s="3">
        <v>4</v>
      </c>
      <c r="V38" s="3">
        <v>3.6</v>
      </c>
      <c r="W38" s="3">
        <v>4.2</v>
      </c>
      <c r="X38" s="3">
        <v>3.7</v>
      </c>
      <c r="Y38" s="3">
        <v>3.9</v>
      </c>
      <c r="Z38" s="3">
        <v>3.8</v>
      </c>
      <c r="AA38" s="3">
        <v>3.5</v>
      </c>
      <c r="AB38" s="3">
        <v>4.0999999999999996</v>
      </c>
      <c r="AC38" s="3">
        <v>3.8</v>
      </c>
      <c r="AD38" s="3">
        <v>4</v>
      </c>
      <c r="AE38" s="3">
        <v>3.9</v>
      </c>
    </row>
    <row r="39" spans="1:31" ht="28.8" x14ac:dyDescent="0.3">
      <c r="A39" s="51" t="s">
        <v>66</v>
      </c>
      <c r="B39">
        <v>8.7198480000000007</v>
      </c>
      <c r="C39">
        <v>6.3646929999999999</v>
      </c>
      <c r="D39">
        <v>4.5578760000000003</v>
      </c>
      <c r="E39">
        <v>2.9505919999999999</v>
      </c>
      <c r="F39">
        <v>2.7785500000000001</v>
      </c>
      <c r="G39">
        <v>2.3452320000000002</v>
      </c>
      <c r="H39">
        <v>2.3418800000000002</v>
      </c>
      <c r="I39">
        <v>2.2886769999999999</v>
      </c>
      <c r="J39">
        <v>2.2089029999999998</v>
      </c>
      <c r="K39">
        <v>2.1304310000000002</v>
      </c>
      <c r="L39">
        <v>2.0806969999999998</v>
      </c>
      <c r="M39">
        <v>1.4777389999999999</v>
      </c>
      <c r="N39">
        <v>1.3052079999999999</v>
      </c>
      <c r="O39">
        <v>1.2640640000000001</v>
      </c>
      <c r="P39">
        <v>1.2518640000000001</v>
      </c>
      <c r="Q39">
        <v>1.123659</v>
      </c>
      <c r="R39">
        <v>1.070336</v>
      </c>
      <c r="S39">
        <v>0.91196500000000003</v>
      </c>
      <c r="T39">
        <v>0.79050299999999996</v>
      </c>
      <c r="U39">
        <v>0.62677000000000005</v>
      </c>
      <c r="V39">
        <v>0.58413999999999999</v>
      </c>
      <c r="W39">
        <v>0.56277200000000005</v>
      </c>
      <c r="X39">
        <v>0.51244599999999996</v>
      </c>
      <c r="Y39">
        <v>0.44841300000000001</v>
      </c>
      <c r="Z39">
        <v>0.30204799999999998</v>
      </c>
      <c r="AA39">
        <v>0.23147100000000001</v>
      </c>
      <c r="AB39">
        <v>0.21901699999999999</v>
      </c>
      <c r="AC39">
        <v>0.21901699999999999</v>
      </c>
      <c r="AD39">
        <v>0.20833299999999999</v>
      </c>
      <c r="AE39">
        <v>6.0720999999999997E-2</v>
      </c>
    </row>
    <row r="40" spans="1:31" ht="15" customHeight="1" x14ac:dyDescent="0.3">
      <c r="A40" s="2" t="s">
        <v>89</v>
      </c>
      <c r="B40">
        <f>'Weighted Scores'!O2</f>
        <v>74.81330494820709</v>
      </c>
      <c r="C40" s="3">
        <f>'Weighted Scores'!O3</f>
        <v>55.932820448780063</v>
      </c>
      <c r="D40" s="3">
        <f>'Weighted Scores'!O4</f>
        <v>58.699885968559087</v>
      </c>
      <c r="E40" s="3">
        <f>'Weighted Scores'!O5</f>
        <v>54.769373594465236</v>
      </c>
      <c r="F40" s="3">
        <f>'Weighted Scores'!O6</f>
        <v>70.980520576333319</v>
      </c>
      <c r="G40">
        <f>'Weighted Scores'!O7</f>
        <v>42.397023613344359</v>
      </c>
      <c r="H40">
        <f>'Weighted Scores'!O8</f>
        <v>45.452862664242424</v>
      </c>
      <c r="I40">
        <f>'Weighted Scores'!O9</f>
        <v>43.028380527385544</v>
      </c>
      <c r="K40">
        <f>'Weighted Scores'!O11</f>
        <v>47.259740851269626</v>
      </c>
      <c r="L40">
        <f>'Weighted Scores'!O12</f>
        <v>48.813228236847799</v>
      </c>
    </row>
    <row r="41" spans="1:31" ht="15" customHeight="1" x14ac:dyDescent="0.3">
      <c r="A41" s="3"/>
      <c r="B41" s="3"/>
      <c r="C41" s="3"/>
      <c r="D41" s="3"/>
      <c r="E41" s="3"/>
      <c r="F41" s="3"/>
    </row>
    <row r="42" spans="1:31" ht="15" customHeight="1" x14ac:dyDescent="0.3">
      <c r="B42" s="7" t="s">
        <v>61</v>
      </c>
    </row>
    <row r="43" spans="1:31" ht="15" customHeight="1" x14ac:dyDescent="0.3">
      <c r="A43" s="7" t="s">
        <v>59</v>
      </c>
      <c r="B43" t="s">
        <v>6</v>
      </c>
      <c r="C43" t="s">
        <v>50</v>
      </c>
    </row>
    <row r="44" spans="1:31" ht="15" customHeight="1" x14ac:dyDescent="0.3">
      <c r="A44" s="13" t="s">
        <v>64</v>
      </c>
      <c r="B44" s="129">
        <v>168.6</v>
      </c>
      <c r="C44" s="129">
        <v>168.6</v>
      </c>
    </row>
    <row r="45" spans="1:31" ht="15" customHeight="1" x14ac:dyDescent="0.3">
      <c r="A45" s="13" t="s">
        <v>65</v>
      </c>
      <c r="B45" s="129">
        <v>149</v>
      </c>
      <c r="C45" s="129">
        <v>149</v>
      </c>
    </row>
    <row r="46" spans="1:31" ht="15" customHeight="1" x14ac:dyDescent="0.3">
      <c r="A46" s="13" t="s">
        <v>81</v>
      </c>
      <c r="B46" s="129">
        <v>119.5</v>
      </c>
      <c r="C46" s="129">
        <v>119.5</v>
      </c>
    </row>
    <row r="47" spans="1:31" ht="15" customHeight="1" x14ac:dyDescent="0.3">
      <c r="A47" s="13" t="s">
        <v>82</v>
      </c>
      <c r="B47" s="129">
        <v>155</v>
      </c>
      <c r="C47" s="129">
        <v>155</v>
      </c>
    </row>
    <row r="48" spans="1:31" ht="15" customHeight="1" x14ac:dyDescent="0.3">
      <c r="A48" s="13" t="s">
        <v>83</v>
      </c>
      <c r="B48" s="129">
        <v>177.6</v>
      </c>
      <c r="C48" s="129">
        <v>177.6</v>
      </c>
    </row>
    <row r="49" spans="1:6" ht="15" customHeight="1" x14ac:dyDescent="0.3">
      <c r="A49" s="13" t="s">
        <v>84</v>
      </c>
      <c r="B49" s="129">
        <v>110</v>
      </c>
      <c r="C49" s="129">
        <v>110</v>
      </c>
    </row>
    <row r="50" spans="1:6" ht="15" customHeight="1" x14ac:dyDescent="0.3">
      <c r="A50" s="13" t="s">
        <v>85</v>
      </c>
      <c r="B50" s="129">
        <v>159.1</v>
      </c>
      <c r="C50" s="129">
        <v>159.1</v>
      </c>
      <c r="F50" s="3"/>
    </row>
    <row r="51" spans="1:6" ht="15" customHeight="1" x14ac:dyDescent="0.3">
      <c r="A51" s="13" t="s">
        <v>86</v>
      </c>
      <c r="B51" s="129">
        <v>96.7</v>
      </c>
      <c r="C51" s="129">
        <v>96.7</v>
      </c>
      <c r="F51" s="3"/>
    </row>
    <row r="52" spans="1:6" ht="15" customHeight="1" x14ac:dyDescent="0.3">
      <c r="A52" s="13" t="s">
        <v>87</v>
      </c>
      <c r="B52" s="129">
        <v>102.4</v>
      </c>
      <c r="C52" s="129">
        <v>102.4</v>
      </c>
      <c r="F52" s="3"/>
    </row>
    <row r="53" spans="1:6" ht="15" customHeight="1" x14ac:dyDescent="0.3">
      <c r="A53" s="13" t="s">
        <v>88</v>
      </c>
      <c r="B53" s="129">
        <v>103</v>
      </c>
      <c r="C53" s="129">
        <v>103</v>
      </c>
      <c r="F53" s="3"/>
    </row>
    <row r="54" spans="1:6" ht="15" customHeight="1" x14ac:dyDescent="0.3">
      <c r="D54" s="3"/>
      <c r="E54" s="3"/>
      <c r="F54" s="3"/>
    </row>
    <row r="55" spans="1:6" ht="15" customHeight="1" x14ac:dyDescent="0.3">
      <c r="D55" s="3"/>
      <c r="E55" s="3"/>
      <c r="F55" s="3"/>
    </row>
    <row r="56" spans="1:6" ht="15" customHeight="1" x14ac:dyDescent="0.3">
      <c r="D56" s="3"/>
      <c r="E56" s="3"/>
      <c r="F56" s="3"/>
    </row>
    <row r="57" spans="1:6" ht="15" customHeight="1" x14ac:dyDescent="0.3">
      <c r="D57" s="3"/>
      <c r="E57" s="3"/>
      <c r="F57" s="3"/>
    </row>
    <row r="58" spans="1:6" ht="15" customHeight="1" x14ac:dyDescent="0.3">
      <c r="D58" s="3"/>
      <c r="E58" s="3"/>
      <c r="F58" s="3"/>
    </row>
    <row r="59" spans="1:6" ht="15" customHeight="1" x14ac:dyDescent="0.3">
      <c r="D59" s="4"/>
      <c r="E59" s="3"/>
      <c r="F59" s="3"/>
    </row>
    <row r="60" spans="1:6" ht="14.4" x14ac:dyDescent="0.3">
      <c r="D60" s="4"/>
      <c r="E60" s="3"/>
      <c r="F60" s="3"/>
    </row>
    <row r="61" spans="1:6" ht="14.4" x14ac:dyDescent="0.3">
      <c r="D61" s="3"/>
      <c r="E61" s="3"/>
      <c r="F61" s="3"/>
    </row>
    <row r="62" spans="1:6" ht="14.4" x14ac:dyDescent="0.3">
      <c r="D62" s="4"/>
      <c r="E62" s="3"/>
      <c r="F62" s="3"/>
    </row>
    <row r="63" spans="1:6" ht="14.4" x14ac:dyDescent="0.3">
      <c r="D63" s="3"/>
      <c r="E63" s="3"/>
      <c r="F63" s="3"/>
    </row>
    <row r="64" spans="1:6" ht="14.4" x14ac:dyDescent="0.3">
      <c r="D64" s="3"/>
      <c r="E64" s="3"/>
      <c r="F64"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330AF-384C-45A2-9E66-33BF1360A7CF}">
  <sheetPr codeName="Sheet2"/>
  <dimension ref="A10:G30"/>
  <sheetViews>
    <sheetView topLeftCell="A17" zoomScale="86" workbookViewId="0">
      <selection activeCell="G24" sqref="G24"/>
    </sheetView>
  </sheetViews>
  <sheetFormatPr defaultRowHeight="14.4" x14ac:dyDescent="0.3"/>
  <cols>
    <col min="1" max="3" width="12.88671875" bestFit="1" customWidth="1"/>
    <col min="4" max="4" width="12.5546875" bestFit="1" customWidth="1"/>
    <col min="5" max="9" width="29" bestFit="1" customWidth="1"/>
    <col min="10" max="10" width="21.33203125" bestFit="1" customWidth="1"/>
    <col min="11" max="11" width="21.88671875" bestFit="1" customWidth="1"/>
    <col min="12" max="14" width="8.77734375" bestFit="1" customWidth="1"/>
    <col min="15" max="15" width="9.77734375" bestFit="1" customWidth="1"/>
    <col min="16" max="18" width="8.77734375" bestFit="1" customWidth="1"/>
    <col min="19" max="19" width="11.77734375" bestFit="1" customWidth="1"/>
    <col min="20" max="25" width="8.77734375" bestFit="1" customWidth="1"/>
    <col min="26" max="26" width="9.77734375" bestFit="1" customWidth="1"/>
    <col min="27" max="34" width="8.77734375" bestFit="1" customWidth="1"/>
    <col min="35" max="35" width="9.77734375" bestFit="1" customWidth="1"/>
    <col min="36" max="40" width="8.77734375" bestFit="1" customWidth="1"/>
    <col min="41" max="41" width="9.21875" bestFit="1" customWidth="1"/>
    <col min="42" max="42" width="11.77734375" bestFit="1" customWidth="1"/>
  </cols>
  <sheetData>
    <row r="10" spans="2:7" x14ac:dyDescent="0.3">
      <c r="D10" s="128"/>
      <c r="E10" s="128"/>
      <c r="F10" s="10" t="s">
        <v>13</v>
      </c>
      <c r="G10" s="12">
        <f>$B$5</f>
        <v>0</v>
      </c>
    </row>
    <row r="11" spans="2:7" x14ac:dyDescent="0.3">
      <c r="B11" s="10"/>
      <c r="C11" s="12"/>
      <c r="D11" s="128"/>
      <c r="E11" s="128"/>
      <c r="F11" s="10" t="s">
        <v>12</v>
      </c>
      <c r="G11" s="12">
        <f>$C$5</f>
        <v>0</v>
      </c>
    </row>
    <row r="12" spans="2:7" x14ac:dyDescent="0.3">
      <c r="B12" s="10"/>
      <c r="C12" s="12"/>
      <c r="D12" s="128"/>
      <c r="E12" s="128"/>
      <c r="F12" s="10" t="s">
        <v>11</v>
      </c>
      <c r="G12" s="12">
        <f>$D$5</f>
        <v>0</v>
      </c>
    </row>
    <row r="13" spans="2:7" x14ac:dyDescent="0.3">
      <c r="B13" s="10"/>
      <c r="C13" s="12"/>
      <c r="D13" s="128"/>
      <c r="E13" s="128"/>
      <c r="F13" s="10" t="s">
        <v>9</v>
      </c>
      <c r="G13" s="12">
        <f>$E$5</f>
        <v>0</v>
      </c>
    </row>
    <row r="14" spans="2:7" x14ac:dyDescent="0.3">
      <c r="B14" s="10"/>
      <c r="C14" s="12"/>
      <c r="D14" s="128"/>
      <c r="E14" s="128"/>
      <c r="F14" s="10" t="s">
        <v>8</v>
      </c>
      <c r="G14" s="12">
        <f>$F$5</f>
        <v>0</v>
      </c>
    </row>
    <row r="15" spans="2:7" x14ac:dyDescent="0.3">
      <c r="B15" s="10"/>
      <c r="C15" s="12"/>
      <c r="D15" s="128"/>
      <c r="E15" s="128"/>
      <c r="F15" s="10" t="s">
        <v>10</v>
      </c>
      <c r="G15" s="12">
        <f>$G$5</f>
        <v>0</v>
      </c>
    </row>
    <row r="16" spans="2:7" x14ac:dyDescent="0.3">
      <c r="B16" s="10"/>
      <c r="C16" s="12"/>
    </row>
    <row r="26" spans="1:4" x14ac:dyDescent="0.3">
      <c r="A26" s="7" t="s">
        <v>60</v>
      </c>
      <c r="B26" t="s">
        <v>90</v>
      </c>
      <c r="C26" t="s">
        <v>91</v>
      </c>
      <c r="D26" t="s">
        <v>94</v>
      </c>
    </row>
    <row r="27" spans="1:4" x14ac:dyDescent="0.3">
      <c r="A27" s="13" t="s">
        <v>20</v>
      </c>
      <c r="B27" s="129">
        <v>6.25</v>
      </c>
      <c r="C27" s="129">
        <v>0</v>
      </c>
      <c r="D27" s="38">
        <v>6.25</v>
      </c>
    </row>
    <row r="28" spans="1:4" x14ac:dyDescent="0.3">
      <c r="A28" s="13" t="s">
        <v>16</v>
      </c>
      <c r="B28" s="129">
        <v>6.25</v>
      </c>
      <c r="C28" s="129">
        <v>4</v>
      </c>
      <c r="D28" s="38">
        <v>10.25</v>
      </c>
    </row>
    <row r="29" spans="1:4" x14ac:dyDescent="0.3">
      <c r="A29" s="13" t="s">
        <v>36</v>
      </c>
      <c r="B29" s="129">
        <v>5.75</v>
      </c>
      <c r="C29" s="129">
        <v>1</v>
      </c>
      <c r="D29" s="38">
        <v>6.75</v>
      </c>
    </row>
    <row r="30" spans="1:4" x14ac:dyDescent="0.3">
      <c r="A30" s="13" t="s">
        <v>50</v>
      </c>
      <c r="B30" s="129">
        <v>18.25</v>
      </c>
      <c r="C30" s="129">
        <v>5</v>
      </c>
      <c r="D30" s="38">
        <v>7.75</v>
      </c>
    </row>
  </sheetData>
  <mergeCells count="1">
    <mergeCell ref="D10:E15"/>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363C8-EE86-43B9-B5EF-22B195E1D844}">
  <sheetPr codeName="Sheet5"/>
  <dimension ref="A1:H10"/>
  <sheetViews>
    <sheetView tabSelected="1" workbookViewId="0">
      <selection activeCell="O11" sqref="O11"/>
    </sheetView>
  </sheetViews>
  <sheetFormatPr defaultRowHeight="14.4" x14ac:dyDescent="0.3"/>
  <sheetData>
    <row r="1" spans="1:8" x14ac:dyDescent="0.3">
      <c r="A1" s="40" t="s">
        <v>105</v>
      </c>
      <c r="C1" s="1" t="s">
        <v>106</v>
      </c>
    </row>
    <row r="2" spans="1:8" x14ac:dyDescent="0.3">
      <c r="A2" s="40" t="s">
        <v>102</v>
      </c>
      <c r="H2" s="40" t="s">
        <v>103</v>
      </c>
    </row>
    <row r="3" spans="1:8" x14ac:dyDescent="0.3">
      <c r="A3" s="1" t="s">
        <v>51</v>
      </c>
      <c r="H3" t="s">
        <v>98</v>
      </c>
    </row>
    <row r="4" spans="1:8" x14ac:dyDescent="0.3">
      <c r="A4" s="1" t="s">
        <v>52</v>
      </c>
      <c r="H4" t="s">
        <v>98</v>
      </c>
    </row>
    <row r="5" spans="1:8" x14ac:dyDescent="0.3">
      <c r="A5" s="1" t="s">
        <v>53</v>
      </c>
      <c r="H5" t="s">
        <v>99</v>
      </c>
    </row>
    <row r="6" spans="1:8" x14ac:dyDescent="0.3">
      <c r="A6" s="1" t="s">
        <v>54</v>
      </c>
      <c r="H6" t="s">
        <v>99</v>
      </c>
    </row>
    <row r="7" spans="1:8" x14ac:dyDescent="0.3">
      <c r="A7" s="1" t="s">
        <v>55</v>
      </c>
      <c r="H7" t="s">
        <v>104</v>
      </c>
    </row>
    <row r="8" spans="1:8" x14ac:dyDescent="0.3">
      <c r="A8" s="1" t="s">
        <v>56</v>
      </c>
      <c r="H8" t="s">
        <v>104</v>
      </c>
    </row>
    <row r="9" spans="1:8" x14ac:dyDescent="0.3">
      <c r="A9" s="1" t="s">
        <v>57</v>
      </c>
      <c r="H9" t="s">
        <v>104</v>
      </c>
    </row>
    <row r="10" spans="1:8" x14ac:dyDescent="0.3">
      <c r="A10" s="1" t="s">
        <v>100</v>
      </c>
      <c r="H10" t="s">
        <v>101</v>
      </c>
    </row>
  </sheetData>
  <hyperlinks>
    <hyperlink ref="A3" r:id="rId1" xr:uid="{F018DA1C-2B3E-4159-865C-C5DB3ECE3753}"/>
    <hyperlink ref="A4" r:id="rId2" xr:uid="{2758E677-D406-4940-828A-835EBA4468B6}"/>
    <hyperlink ref="A5" r:id="rId3" xr:uid="{C8EEC746-0AE5-4CE4-96C1-7B7E39E376BB}"/>
    <hyperlink ref="A6" r:id="rId4" xr:uid="{55B44A27-994F-4998-BE37-2F715E37A4A9}"/>
    <hyperlink ref="A7" r:id="rId5" xr:uid="{6BA1A64C-DC29-418E-A2BE-6502C6270480}"/>
    <hyperlink ref="A8" r:id="rId6" xr:uid="{7F5E0ED6-E1AD-4009-893A-09F7925B38DD}"/>
    <hyperlink ref="A9" r:id="rId7" xr:uid="{98B13D0A-7793-468D-A475-7E96BA248BFD}"/>
    <hyperlink ref="C1" r:id="rId8" xr:uid="{663632F6-0B8B-4E96-8788-8F04B2A5343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966C-AF00-4243-8AC4-374F67E29E6E}">
  <sheetPr codeName="Sheet10"/>
  <dimension ref="A1:J6"/>
  <sheetViews>
    <sheetView workbookViewId="0">
      <selection activeCell="B2" sqref="B2:B6"/>
    </sheetView>
  </sheetViews>
  <sheetFormatPr defaultRowHeight="14.4" x14ac:dyDescent="0.3"/>
  <cols>
    <col min="2" max="2" width="13.77734375" bestFit="1" customWidth="1"/>
    <col min="3" max="3" width="9.88671875" bestFit="1" customWidth="1"/>
    <col min="4" max="4" width="13.77734375" bestFit="1" customWidth="1"/>
    <col min="5" max="5" width="9.77734375" bestFit="1" customWidth="1"/>
    <col min="6" max="6" width="12.33203125" bestFit="1" customWidth="1"/>
    <col min="7" max="7" width="10.21875" bestFit="1" customWidth="1"/>
    <col min="8" max="8" width="10.109375" bestFit="1" customWidth="1"/>
    <col min="9" max="9" width="12.5546875" bestFit="1" customWidth="1"/>
    <col min="10" max="10" width="12.33203125" bestFit="1" customWidth="1"/>
  </cols>
  <sheetData>
    <row r="1" spans="1:10" x14ac:dyDescent="0.3">
      <c r="A1" s="40" t="s">
        <v>77</v>
      </c>
      <c r="B1" s="40" t="s">
        <v>63</v>
      </c>
      <c r="C1" s="40" t="s">
        <v>78</v>
      </c>
      <c r="D1" s="40" t="s">
        <v>63</v>
      </c>
      <c r="E1" s="40" t="s">
        <v>79</v>
      </c>
      <c r="F1" s="40" t="s">
        <v>63</v>
      </c>
      <c r="G1" s="40" t="s">
        <v>80</v>
      </c>
      <c r="H1" s="40" t="s">
        <v>63</v>
      </c>
      <c r="I1" s="40" t="s">
        <v>75</v>
      </c>
      <c r="J1" s="40" t="s">
        <v>63</v>
      </c>
    </row>
    <row r="2" spans="1:10" x14ac:dyDescent="0.3">
      <c r="A2">
        <f>LARGE(Table1[Cost of Living Index],1)</f>
        <v>177.6</v>
      </c>
      <c r="B2" t="str">
        <f>INDEX(Dataset!A:A,MATCH(LARGE(Dataset!G:G,ROW()-1),Dataset!G:G,0))</f>
        <v>San Francisco</v>
      </c>
      <c r="C2">
        <f>LARGE(Table1[Job Market Score],1)</f>
        <v>4.5</v>
      </c>
      <c r="D2" t="s">
        <v>18</v>
      </c>
      <c r="E2">
        <f>LARGE(Table1[Indian Population %],1)</f>
        <v>2.0499999999999998</v>
      </c>
      <c r="F2" t="str">
        <f>INDEX(Dataset!A:A,MATCH(E2,Dataset!B:B,0))</f>
        <v>San Francisco</v>
      </c>
      <c r="G2">
        <f>LARGE(Table1[Crime Rate per 100k],1)</f>
        <v>2007</v>
      </c>
      <c r="H2" t="str">
        <f>INDEX(Dataset!A:A,MATCH(G2,Dataset!F:F,0))</f>
        <v>Detroit</v>
      </c>
      <c r="I2">
        <f>LARGE(Table24[Overall Rating],1)</f>
        <v>74.81330494820709</v>
      </c>
      <c r="J2" t="str">
        <f>INDEX('Weighted Scores'!A:A,MATCH(I2,'Weighted Scores'!O:O,0))</f>
        <v>New York</v>
      </c>
    </row>
    <row r="3" spans="1:10" x14ac:dyDescent="0.3">
      <c r="A3">
        <f>LARGE(Table1[Cost of Living Index],2)</f>
        <v>168.6</v>
      </c>
      <c r="B3" t="str">
        <f>INDEX(Dataset!A:A,MATCH(LARGE(Dataset!G:G,ROW()-1),Dataset!G:G,0))</f>
        <v>New York</v>
      </c>
      <c r="C3">
        <f>LARGE(Table1[Job Market Score],2)</f>
        <v>4.5</v>
      </c>
      <c r="D3" t="s">
        <v>26</v>
      </c>
      <c r="E3">
        <f>LARGE(Table1[Indian Population %],2)</f>
        <v>1.89</v>
      </c>
      <c r="F3" t="str">
        <f>INDEX(Dataset!A:A,MATCH(E3,Dataset!B:B,0))</f>
        <v>New York</v>
      </c>
      <c r="G3">
        <f>LARGE(Table1[Crime Rate per 100k],2)</f>
        <v>1800</v>
      </c>
      <c r="H3" t="str">
        <f>INDEX(Dataset!A:A,MATCH(G3,Dataset!F:F,0))</f>
        <v>St. Louis</v>
      </c>
      <c r="I3">
        <f>LARGE(Table24[Overall Rating],2)</f>
        <v>70.980520576333319</v>
      </c>
      <c r="J3" t="str">
        <f>INDEX('Weighted Scores'!A:A,MATCH(I3,'Weighted Scores'!O:O,0))</f>
        <v>San Francisco</v>
      </c>
    </row>
    <row r="4" spans="1:10" x14ac:dyDescent="0.3">
      <c r="A4">
        <f>LARGE(Table1[Cost of Living Index],3)</f>
        <v>159.1</v>
      </c>
      <c r="B4" t="str">
        <f>INDEX(Dataset!A:A,MATCH(LARGE(Dataset!G:G,ROW()-1),Dataset!G:G,0))</f>
        <v>Boston</v>
      </c>
      <c r="C4">
        <f>LARGE(Table1[Job Market Score],3)</f>
        <v>4.3</v>
      </c>
      <c r="D4" t="s">
        <v>20</v>
      </c>
      <c r="E4">
        <f>LARGE(Table1[Indian Population %],3)</f>
        <v>1.28</v>
      </c>
      <c r="F4" t="str">
        <f>INDEX(Dataset!A:A,MATCH(E4,Dataset!B:B,0))</f>
        <v>Chicago</v>
      </c>
      <c r="G4">
        <f>LARGE(Table1[Crime Rate per 100k],3)</f>
        <v>1590</v>
      </c>
      <c r="H4" t="str">
        <f>INDEX(Dataset!A:A,MATCH(G4,Dataset!F:F,0))</f>
        <v>Kansas City</v>
      </c>
      <c r="I4">
        <f>LARGE(Table24[Overall Rating],3)</f>
        <v>58.699885968559087</v>
      </c>
      <c r="J4" t="str">
        <f>INDEX('Weighted Scores'!A:A,MATCH(I4,'Weighted Scores'!O:O,0))</f>
        <v>Chicago</v>
      </c>
    </row>
    <row r="5" spans="1:10" x14ac:dyDescent="0.3">
      <c r="A5">
        <f>LARGE(Table1[Cost of Living Index],4)</f>
        <v>155</v>
      </c>
      <c r="B5" t="str">
        <f>INDEX(Dataset!A:A,MATCH(LARGE(Dataset!G:G,ROW()-1),Dataset!G:G,0))</f>
        <v>Washington</v>
      </c>
      <c r="C5">
        <f>LARGE(Table1[Job Market Score],4)</f>
        <v>4.3</v>
      </c>
      <c r="D5" t="s">
        <v>32</v>
      </c>
      <c r="E5">
        <f>LARGE(Table1[Indian Population %],4)</f>
        <v>1.1599999999999999</v>
      </c>
      <c r="F5" t="str">
        <f>INDEX(Dataset!A:A,MATCH(E5,Dataset!B:B,0))</f>
        <v>Washington</v>
      </c>
      <c r="G5">
        <f>LARGE(Table1[Crime Rate per 100k],4)</f>
        <v>1517</v>
      </c>
      <c r="H5" t="str">
        <f>INDEX(Dataset!A:A,MATCH(G5,Dataset!F:F,0))</f>
        <v>Cleveland</v>
      </c>
      <c r="I5">
        <f>LARGE(Table24[Overall Rating],4)</f>
        <v>55.932820448780063</v>
      </c>
      <c r="J5" t="str">
        <f>INDEX('Weighted Scores'!A:A,MATCH(I5,'Weighted Scores'!O:O,0))</f>
        <v>Los Angeles</v>
      </c>
    </row>
    <row r="6" spans="1:10" x14ac:dyDescent="0.3">
      <c r="A6">
        <f>LARGE(Table1[Cost of Living Index],5)</f>
        <v>152.4</v>
      </c>
      <c r="B6" t="str">
        <f>INDEX(Dataset!A:A,MATCH(LARGE(Dataset!G:G,ROW()-1),Dataset!G:G,0))</f>
        <v>Seattle/Tacoma</v>
      </c>
      <c r="C6">
        <f>LARGE(Table1[Job Market Score],5)</f>
        <v>4.2</v>
      </c>
      <c r="D6" t="s">
        <v>17</v>
      </c>
      <c r="E6">
        <f>LARGE(Table1[Indian Population %],5)</f>
        <v>1.1100000000000001</v>
      </c>
      <c r="F6" t="str">
        <f>INDEX(Dataset!A:A,MATCH(E6,Dataset!B:B,0))</f>
        <v>Houston</v>
      </c>
      <c r="G6">
        <f>LARGE(Table1[Crime Rate per 100k],5)</f>
        <v>1433</v>
      </c>
      <c r="H6" t="str">
        <f>INDEX(Dataset!A:A,MATCH(G6,Dataset!F:F,0))</f>
        <v>Atlanta</v>
      </c>
      <c r="I6">
        <f>LARGE(Table24[Overall Rating],5)</f>
        <v>54.769373594465236</v>
      </c>
      <c r="J6" t="str">
        <f>INDEX('Weighted Scores'!A:A,MATCH(I6,'Weighted Scores'!O:O,0))</f>
        <v>Washington</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6B59-85D4-4002-B217-25CA6FBCD546}">
  <sheetPr codeName="Sheet9"/>
  <dimension ref="A1:V34"/>
  <sheetViews>
    <sheetView workbookViewId="0">
      <selection activeCell="F20" sqref="F20"/>
    </sheetView>
  </sheetViews>
  <sheetFormatPr defaultRowHeight="14.4" x14ac:dyDescent="0.3"/>
  <cols>
    <col min="1" max="1" width="34.109375" bestFit="1" customWidth="1"/>
    <col min="2" max="3" width="0" hidden="1" customWidth="1"/>
  </cols>
  <sheetData>
    <row r="1" spans="1:22" x14ac:dyDescent="0.3">
      <c r="A1" s="14" t="s">
        <v>0</v>
      </c>
      <c r="B1" s="15" t="s">
        <v>7</v>
      </c>
      <c r="C1" s="15" t="s">
        <v>67</v>
      </c>
      <c r="D1" s="16" t="s">
        <v>68</v>
      </c>
      <c r="E1" s="17"/>
      <c r="F1" s="17"/>
      <c r="G1" s="17"/>
      <c r="H1" s="14" t="s">
        <v>69</v>
      </c>
      <c r="I1" s="15" t="s">
        <v>70</v>
      </c>
      <c r="J1" s="16" t="s">
        <v>68</v>
      </c>
      <c r="K1" s="17"/>
      <c r="L1" s="17"/>
      <c r="M1" s="17"/>
      <c r="N1" s="14" t="s">
        <v>69</v>
      </c>
      <c r="O1" s="18" t="s">
        <v>6</v>
      </c>
      <c r="P1" s="16" t="s">
        <v>68</v>
      </c>
      <c r="Q1" s="17"/>
      <c r="R1" s="17"/>
      <c r="S1" s="17"/>
      <c r="T1" s="19" t="s">
        <v>0</v>
      </c>
      <c r="U1" s="18" t="s">
        <v>5</v>
      </c>
      <c r="V1" s="16" t="s">
        <v>71</v>
      </c>
    </row>
    <row r="2" spans="1:22" x14ac:dyDescent="0.3">
      <c r="A2" s="20" t="s">
        <v>18</v>
      </c>
      <c r="B2" s="21">
        <v>4.5</v>
      </c>
      <c r="C2" s="21">
        <v>82500</v>
      </c>
      <c r="D2" s="22">
        <v>1</v>
      </c>
      <c r="E2" s="17"/>
      <c r="F2" s="17"/>
      <c r="G2" s="17"/>
      <c r="H2" s="23" t="s">
        <v>14</v>
      </c>
      <c r="I2" s="24">
        <v>8.7200000000000006</v>
      </c>
      <c r="J2" s="22">
        <v>1</v>
      </c>
      <c r="K2" s="17"/>
      <c r="L2" s="17"/>
      <c r="M2" s="17"/>
      <c r="N2" s="23" t="s">
        <v>18</v>
      </c>
      <c r="O2" s="25">
        <v>177.6</v>
      </c>
      <c r="P2" s="22">
        <v>1</v>
      </c>
      <c r="Q2" s="17"/>
      <c r="R2" s="17"/>
      <c r="S2" s="17"/>
      <c r="T2" s="23" t="s">
        <v>43</v>
      </c>
      <c r="U2" s="25">
        <v>146</v>
      </c>
      <c r="V2" s="22">
        <v>1</v>
      </c>
    </row>
    <row r="3" spans="1:22" x14ac:dyDescent="0.3">
      <c r="A3" s="26" t="s">
        <v>26</v>
      </c>
      <c r="B3" s="27">
        <v>4.5</v>
      </c>
      <c r="C3" s="27">
        <v>82500</v>
      </c>
      <c r="D3" s="28">
        <v>2</v>
      </c>
      <c r="E3" s="17"/>
      <c r="F3" s="17"/>
      <c r="G3" s="17"/>
      <c r="H3" s="29" t="s">
        <v>15</v>
      </c>
      <c r="I3" s="30">
        <v>6.36</v>
      </c>
      <c r="J3" s="28">
        <v>2</v>
      </c>
      <c r="K3" s="17"/>
      <c r="L3" s="17"/>
      <c r="M3" s="17"/>
      <c r="N3" s="23" t="s">
        <v>14</v>
      </c>
      <c r="O3" s="31">
        <v>168.6</v>
      </c>
      <c r="P3" s="28">
        <v>2</v>
      </c>
      <c r="Q3" s="17"/>
      <c r="R3" s="17"/>
      <c r="S3" s="17"/>
      <c r="T3" s="29" t="s">
        <v>30</v>
      </c>
      <c r="U3" s="31">
        <v>369</v>
      </c>
      <c r="V3" s="28">
        <v>2</v>
      </c>
    </row>
    <row r="4" spans="1:22" x14ac:dyDescent="0.3">
      <c r="A4" s="20" t="s">
        <v>20</v>
      </c>
      <c r="B4" s="21">
        <v>4.3</v>
      </c>
      <c r="C4" s="21">
        <v>81500</v>
      </c>
      <c r="D4" s="22">
        <v>3</v>
      </c>
      <c r="E4" s="17"/>
      <c r="F4" s="17"/>
      <c r="G4" s="17"/>
      <c r="H4" s="23" t="s">
        <v>16</v>
      </c>
      <c r="I4" s="24">
        <v>4.5599999999999996</v>
      </c>
      <c r="J4" s="22">
        <v>3</v>
      </c>
      <c r="K4" s="17"/>
      <c r="L4" s="17"/>
      <c r="M4" s="17"/>
      <c r="N4" s="23" t="s">
        <v>20</v>
      </c>
      <c r="O4" s="25">
        <v>159.1</v>
      </c>
      <c r="P4" s="22">
        <v>3</v>
      </c>
      <c r="Q4" s="17"/>
      <c r="R4" s="17"/>
      <c r="S4" s="17"/>
      <c r="T4" s="23" t="s">
        <v>33</v>
      </c>
      <c r="U4" s="25">
        <v>428</v>
      </c>
      <c r="V4" s="22">
        <v>3</v>
      </c>
    </row>
    <row r="5" spans="1:22" x14ac:dyDescent="0.3">
      <c r="A5" s="26" t="s">
        <v>32</v>
      </c>
      <c r="B5" s="27">
        <v>4.3</v>
      </c>
      <c r="C5" s="27">
        <v>81500</v>
      </c>
      <c r="D5" s="28">
        <v>4</v>
      </c>
      <c r="E5" s="17"/>
      <c r="F5" s="17"/>
      <c r="G5" s="17"/>
      <c r="H5" s="29" t="s">
        <v>17</v>
      </c>
      <c r="I5" s="30">
        <v>2.95</v>
      </c>
      <c r="J5" s="28">
        <v>4</v>
      </c>
      <c r="K5" s="17"/>
      <c r="L5" s="17"/>
      <c r="M5" s="17"/>
      <c r="N5" s="29" t="s">
        <v>17</v>
      </c>
      <c r="O5" s="31">
        <v>155</v>
      </c>
      <c r="P5" s="28">
        <v>4</v>
      </c>
      <c r="Q5" s="17"/>
      <c r="R5" s="17"/>
      <c r="S5" s="17"/>
      <c r="T5" s="29" t="s">
        <v>35</v>
      </c>
      <c r="U5" s="31">
        <v>522</v>
      </c>
      <c r="V5" s="28">
        <v>4</v>
      </c>
    </row>
    <row r="6" spans="1:22" x14ac:dyDescent="0.3">
      <c r="A6" s="20" t="s">
        <v>17</v>
      </c>
      <c r="B6" s="21">
        <v>4.2</v>
      </c>
      <c r="C6" s="21">
        <v>81000</v>
      </c>
      <c r="D6" s="22">
        <v>5</v>
      </c>
      <c r="E6" s="17"/>
      <c r="F6" s="17"/>
      <c r="G6" s="17"/>
      <c r="H6" s="23" t="s">
        <v>18</v>
      </c>
      <c r="I6" s="24">
        <v>2.78</v>
      </c>
      <c r="J6" s="22">
        <v>5</v>
      </c>
      <c r="K6" s="17"/>
      <c r="L6" s="17"/>
      <c r="M6" s="17"/>
      <c r="N6" s="23" t="s">
        <v>26</v>
      </c>
      <c r="O6" s="25">
        <v>152.4</v>
      </c>
      <c r="P6" s="22">
        <v>5</v>
      </c>
      <c r="Q6" s="17"/>
      <c r="R6" s="17"/>
      <c r="S6" s="17"/>
      <c r="T6" s="23" t="s">
        <v>14</v>
      </c>
      <c r="U6" s="25">
        <v>540</v>
      </c>
      <c r="V6" s="22">
        <v>5</v>
      </c>
    </row>
    <row r="7" spans="1:22" x14ac:dyDescent="0.3">
      <c r="A7" s="26" t="s">
        <v>24</v>
      </c>
      <c r="B7" s="27">
        <v>4.2</v>
      </c>
      <c r="C7" s="27">
        <v>81000</v>
      </c>
      <c r="D7" s="28">
        <v>6</v>
      </c>
      <c r="E7" s="17"/>
      <c r="F7" s="17"/>
      <c r="G7" s="17"/>
      <c r="H7" s="29" t="s">
        <v>19</v>
      </c>
      <c r="I7" s="30">
        <v>2.35</v>
      </c>
      <c r="J7" s="28">
        <v>6</v>
      </c>
      <c r="K7" s="17"/>
      <c r="L7" s="17"/>
      <c r="M7" s="17"/>
      <c r="N7" s="29" t="s">
        <v>15</v>
      </c>
      <c r="O7" s="31">
        <v>149</v>
      </c>
      <c r="P7" s="28">
        <v>6</v>
      </c>
      <c r="Q7" s="17"/>
      <c r="R7" s="17"/>
      <c r="S7" s="17"/>
      <c r="T7" s="29" t="s">
        <v>34</v>
      </c>
      <c r="U7" s="31">
        <v>610</v>
      </c>
      <c r="V7" s="28">
        <v>6</v>
      </c>
    </row>
    <row r="8" spans="1:22" x14ac:dyDescent="0.3">
      <c r="A8" s="20" t="s">
        <v>28</v>
      </c>
      <c r="B8" s="21">
        <v>4.2</v>
      </c>
      <c r="C8" s="21">
        <v>81000</v>
      </c>
      <c r="D8" s="22">
        <v>7</v>
      </c>
      <c r="E8" s="17"/>
      <c r="F8" s="17"/>
      <c r="G8" s="17"/>
      <c r="H8" s="23" t="s">
        <v>20</v>
      </c>
      <c r="I8" s="24">
        <v>2.34</v>
      </c>
      <c r="J8" s="22">
        <v>7</v>
      </c>
      <c r="K8" s="17"/>
      <c r="L8" s="17"/>
      <c r="M8" s="17"/>
      <c r="N8" s="23" t="s">
        <v>30</v>
      </c>
      <c r="O8" s="25">
        <v>144.6</v>
      </c>
      <c r="P8" s="22">
        <v>7</v>
      </c>
      <c r="Q8" s="17"/>
      <c r="R8" s="17"/>
      <c r="S8" s="17"/>
      <c r="T8" s="23" t="s">
        <v>26</v>
      </c>
      <c r="U8" s="25">
        <v>620</v>
      </c>
      <c r="V8" s="22">
        <v>7</v>
      </c>
    </row>
    <row r="9" spans="1:22" x14ac:dyDescent="0.3">
      <c r="A9" s="26" t="s">
        <v>30</v>
      </c>
      <c r="B9" s="27">
        <v>4.2</v>
      </c>
      <c r="C9" s="27">
        <v>81000</v>
      </c>
      <c r="D9" s="28">
        <v>8</v>
      </c>
      <c r="E9" s="17"/>
      <c r="F9" s="17"/>
      <c r="G9" s="17"/>
      <c r="H9" s="29" t="s">
        <v>21</v>
      </c>
      <c r="I9" s="30">
        <v>2.29</v>
      </c>
      <c r="J9" s="28">
        <v>8</v>
      </c>
      <c r="K9" s="17"/>
      <c r="L9" s="17"/>
      <c r="M9" s="17"/>
      <c r="N9" s="23" t="s">
        <v>32</v>
      </c>
      <c r="O9" s="31">
        <v>128.69999999999999</v>
      </c>
      <c r="P9" s="28">
        <v>8</v>
      </c>
      <c r="Q9" s="17"/>
      <c r="R9" s="17"/>
      <c r="S9" s="17"/>
      <c r="T9" s="29" t="s">
        <v>20</v>
      </c>
      <c r="U9" s="31">
        <v>622</v>
      </c>
      <c r="V9" s="28">
        <v>8</v>
      </c>
    </row>
    <row r="10" spans="1:22" x14ac:dyDescent="0.3">
      <c r="A10" s="20" t="s">
        <v>72</v>
      </c>
      <c r="B10" s="21">
        <v>4.2</v>
      </c>
      <c r="C10" s="21">
        <v>81000</v>
      </c>
      <c r="D10" s="22">
        <v>9</v>
      </c>
      <c r="E10" s="17"/>
      <c r="F10" s="17"/>
      <c r="G10" s="17"/>
      <c r="H10" s="23" t="s">
        <v>22</v>
      </c>
      <c r="I10" s="24">
        <v>2.21</v>
      </c>
      <c r="J10" s="22">
        <v>9</v>
      </c>
      <c r="K10" s="17"/>
      <c r="L10" s="17"/>
      <c r="M10" s="17"/>
      <c r="N10" s="23" t="s">
        <v>35</v>
      </c>
      <c r="O10" s="25">
        <v>125.5</v>
      </c>
      <c r="P10" s="22">
        <v>9</v>
      </c>
      <c r="Q10" s="17"/>
      <c r="R10" s="17"/>
      <c r="S10" s="17"/>
      <c r="T10" s="23" t="s">
        <v>25</v>
      </c>
      <c r="U10" s="25">
        <v>629</v>
      </c>
      <c r="V10" s="22">
        <v>9</v>
      </c>
    </row>
    <row r="11" spans="1:22" x14ac:dyDescent="0.3">
      <c r="A11" s="26" t="s">
        <v>22</v>
      </c>
      <c r="B11" s="27">
        <v>4.0999999999999996</v>
      </c>
      <c r="C11" s="27">
        <v>80500</v>
      </c>
      <c r="D11" s="28">
        <v>10</v>
      </c>
      <c r="E11" s="17"/>
      <c r="F11" s="17"/>
      <c r="G11" s="17"/>
      <c r="H11" s="29" t="s">
        <v>23</v>
      </c>
      <c r="I11" s="30">
        <v>2.13</v>
      </c>
      <c r="J11" s="28">
        <v>10</v>
      </c>
      <c r="K11" s="17"/>
      <c r="L11" s="17"/>
      <c r="M11" s="17"/>
      <c r="N11" s="29" t="s">
        <v>25</v>
      </c>
      <c r="O11" s="31">
        <v>122</v>
      </c>
      <c r="P11" s="28">
        <v>10</v>
      </c>
      <c r="Q11" s="17"/>
      <c r="R11" s="17"/>
      <c r="S11" s="17"/>
      <c r="T11" s="29" t="s">
        <v>18</v>
      </c>
      <c r="U11" s="31">
        <v>669</v>
      </c>
      <c r="V11" s="28">
        <v>10</v>
      </c>
    </row>
    <row r="12" spans="1:22" x14ac:dyDescent="0.3">
      <c r="A12" s="20" t="s">
        <v>40</v>
      </c>
      <c r="B12" s="21">
        <v>4.0999999999999996</v>
      </c>
      <c r="C12" s="21">
        <v>80500</v>
      </c>
      <c r="D12" s="22">
        <v>11</v>
      </c>
      <c r="E12" s="17"/>
      <c r="F12" s="17"/>
      <c r="G12" s="17"/>
      <c r="H12" s="23" t="s">
        <v>24</v>
      </c>
      <c r="I12" s="24">
        <v>2.08</v>
      </c>
      <c r="J12" s="22">
        <v>11</v>
      </c>
      <c r="K12" s="17"/>
      <c r="L12" s="17"/>
      <c r="M12" s="17"/>
      <c r="N12" s="23" t="s">
        <v>16</v>
      </c>
      <c r="O12" s="25">
        <v>119.5</v>
      </c>
      <c r="P12" s="22">
        <v>11</v>
      </c>
      <c r="Q12" s="17"/>
      <c r="R12" s="17"/>
      <c r="S12" s="17"/>
      <c r="T12" s="23" t="s">
        <v>42</v>
      </c>
      <c r="U12" s="25">
        <v>708</v>
      </c>
      <c r="V12" s="22">
        <v>11</v>
      </c>
    </row>
    <row r="13" spans="1:22" x14ac:dyDescent="0.3">
      <c r="A13" s="26" t="s">
        <v>14</v>
      </c>
      <c r="B13" s="27">
        <v>4</v>
      </c>
      <c r="C13" s="27">
        <v>80000</v>
      </c>
      <c r="D13" s="28">
        <v>12</v>
      </c>
      <c r="E13" s="17"/>
      <c r="F13" s="17"/>
      <c r="G13" s="17"/>
      <c r="H13" s="29" t="s">
        <v>25</v>
      </c>
      <c r="I13" s="30">
        <v>1.48</v>
      </c>
      <c r="J13" s="28">
        <v>12</v>
      </c>
      <c r="K13" s="17"/>
      <c r="L13" s="17"/>
      <c r="M13" s="17"/>
      <c r="N13" s="29" t="s">
        <v>37</v>
      </c>
      <c r="O13" s="31">
        <v>118.5</v>
      </c>
      <c r="P13" s="28">
        <v>12</v>
      </c>
      <c r="Q13" s="17"/>
      <c r="R13" s="17"/>
      <c r="S13" s="17"/>
      <c r="T13" s="29" t="s">
        <v>37</v>
      </c>
      <c r="U13" s="31">
        <v>712</v>
      </c>
      <c r="V13" s="28">
        <v>12</v>
      </c>
    </row>
    <row r="14" spans="1:22" x14ac:dyDescent="0.3">
      <c r="A14" s="20" t="s">
        <v>23</v>
      </c>
      <c r="B14" s="21">
        <v>4</v>
      </c>
      <c r="C14" s="21">
        <v>80000</v>
      </c>
      <c r="D14" s="22">
        <v>13</v>
      </c>
      <c r="E14" s="17"/>
      <c r="F14" s="17"/>
      <c r="G14" s="17"/>
      <c r="H14" s="23" t="s">
        <v>26</v>
      </c>
      <c r="I14" s="24">
        <v>1.31</v>
      </c>
      <c r="J14" s="22">
        <v>13</v>
      </c>
      <c r="K14" s="17"/>
      <c r="L14" s="17"/>
      <c r="M14" s="17"/>
      <c r="N14" s="23" t="s">
        <v>27</v>
      </c>
      <c r="O14" s="25">
        <v>113</v>
      </c>
      <c r="P14" s="22">
        <v>13</v>
      </c>
      <c r="Q14" s="17"/>
      <c r="R14" s="17"/>
      <c r="S14" s="17"/>
      <c r="T14" s="23" t="s">
        <v>32</v>
      </c>
      <c r="U14" s="25">
        <v>730</v>
      </c>
      <c r="V14" s="22">
        <v>13</v>
      </c>
    </row>
    <row r="15" spans="1:22" x14ac:dyDescent="0.3">
      <c r="A15" s="26" t="s">
        <v>25</v>
      </c>
      <c r="B15" s="27">
        <v>4</v>
      </c>
      <c r="C15" s="27">
        <v>80000</v>
      </c>
      <c r="D15" s="28">
        <v>14</v>
      </c>
      <c r="E15" s="17"/>
      <c r="F15" s="17"/>
      <c r="G15" s="17"/>
      <c r="H15" s="29" t="s">
        <v>27</v>
      </c>
      <c r="I15" s="30">
        <v>1.26</v>
      </c>
      <c r="J15" s="28">
        <v>14</v>
      </c>
      <c r="K15" s="17"/>
      <c r="L15" s="17"/>
      <c r="M15" s="17"/>
      <c r="N15" s="29" t="s">
        <v>19</v>
      </c>
      <c r="O15" s="31">
        <v>110</v>
      </c>
      <c r="P15" s="28">
        <v>14</v>
      </c>
      <c r="Q15" s="17"/>
      <c r="R15" s="17"/>
      <c r="S15" s="17"/>
      <c r="T15" s="29" t="s">
        <v>27</v>
      </c>
      <c r="U15" s="31">
        <v>733</v>
      </c>
      <c r="V15" s="28">
        <v>14</v>
      </c>
    </row>
    <row r="16" spans="1:22" x14ac:dyDescent="0.3">
      <c r="A16" s="20" t="s">
        <v>27</v>
      </c>
      <c r="B16" s="21">
        <v>4</v>
      </c>
      <c r="C16" s="21">
        <v>80000</v>
      </c>
      <c r="D16" s="22">
        <v>15</v>
      </c>
      <c r="E16" s="17"/>
      <c r="F16" s="17"/>
      <c r="G16" s="17"/>
      <c r="H16" s="23" t="s">
        <v>28</v>
      </c>
      <c r="I16" s="24">
        <v>1.25</v>
      </c>
      <c r="J16" s="22">
        <v>15</v>
      </c>
      <c r="K16" s="17"/>
      <c r="L16" s="17"/>
      <c r="M16" s="17"/>
      <c r="N16" s="23" t="s">
        <v>28</v>
      </c>
      <c r="O16" s="25">
        <v>109</v>
      </c>
      <c r="P16" s="22">
        <v>15</v>
      </c>
      <c r="Q16" s="17"/>
      <c r="R16" s="17"/>
      <c r="S16" s="17"/>
      <c r="T16" s="23" t="s">
        <v>15</v>
      </c>
      <c r="U16" s="25">
        <v>748</v>
      </c>
      <c r="V16" s="22">
        <v>15</v>
      </c>
    </row>
    <row r="17" spans="1:22" x14ac:dyDescent="0.3">
      <c r="A17" s="26" t="s">
        <v>33</v>
      </c>
      <c r="B17" s="27">
        <v>4</v>
      </c>
      <c r="C17" s="27">
        <v>80000</v>
      </c>
      <c r="D17" s="28">
        <v>16</v>
      </c>
      <c r="E17" s="17"/>
      <c r="F17" s="17"/>
      <c r="G17" s="17"/>
      <c r="H17" s="29" t="s">
        <v>29</v>
      </c>
      <c r="I17" s="30">
        <v>1.1200000000000001</v>
      </c>
      <c r="J17" s="28">
        <v>16</v>
      </c>
      <c r="K17" s="17"/>
      <c r="L17" s="17"/>
      <c r="M17" s="17"/>
      <c r="N17" s="23" t="s">
        <v>22</v>
      </c>
      <c r="O17" s="31">
        <v>107</v>
      </c>
      <c r="P17" s="28">
        <v>16</v>
      </c>
      <c r="Q17" s="17"/>
      <c r="R17" s="17"/>
      <c r="S17" s="17"/>
      <c r="T17" s="29" t="s">
        <v>22</v>
      </c>
      <c r="U17" s="31">
        <v>762</v>
      </c>
      <c r="V17" s="28">
        <v>16</v>
      </c>
    </row>
    <row r="18" spans="1:22" x14ac:dyDescent="0.3">
      <c r="A18" s="20" t="s">
        <v>42</v>
      </c>
      <c r="B18" s="21">
        <v>4</v>
      </c>
      <c r="C18" s="21">
        <v>80000</v>
      </c>
      <c r="D18" s="22">
        <v>17</v>
      </c>
      <c r="E18" s="17"/>
      <c r="F18" s="17"/>
      <c r="G18" s="17"/>
      <c r="H18" s="23" t="s">
        <v>30</v>
      </c>
      <c r="I18" s="24">
        <v>1.07</v>
      </c>
      <c r="J18" s="22">
        <v>17</v>
      </c>
      <c r="K18" s="17"/>
      <c r="L18" s="17"/>
      <c r="M18" s="17"/>
      <c r="N18" s="23" t="s">
        <v>23</v>
      </c>
      <c r="O18" s="25">
        <v>103</v>
      </c>
      <c r="P18" s="22">
        <v>17</v>
      </c>
      <c r="Q18" s="17"/>
      <c r="R18" s="17"/>
      <c r="S18" s="17"/>
      <c r="T18" s="23" t="s">
        <v>40</v>
      </c>
      <c r="U18" s="25">
        <v>860</v>
      </c>
      <c r="V18" s="22">
        <v>17</v>
      </c>
    </row>
    <row r="19" spans="1:22" x14ac:dyDescent="0.3">
      <c r="A19" s="26" t="s">
        <v>37</v>
      </c>
      <c r="B19" s="27">
        <v>3.9</v>
      </c>
      <c r="C19" s="27">
        <v>79500</v>
      </c>
      <c r="D19" s="28">
        <v>18</v>
      </c>
      <c r="E19" s="17"/>
      <c r="F19" s="17"/>
      <c r="G19" s="17"/>
      <c r="H19" s="29" t="s">
        <v>31</v>
      </c>
      <c r="I19" s="30">
        <v>0.91</v>
      </c>
      <c r="J19" s="28">
        <v>18</v>
      </c>
      <c r="K19" s="17"/>
      <c r="L19" s="17"/>
      <c r="M19" s="17"/>
      <c r="N19" s="23" t="s">
        <v>24</v>
      </c>
      <c r="O19" s="31">
        <v>102.4</v>
      </c>
      <c r="P19" s="28">
        <v>18</v>
      </c>
      <c r="Q19" s="17"/>
      <c r="R19" s="17"/>
      <c r="S19" s="17"/>
      <c r="T19" s="29" t="s">
        <v>36</v>
      </c>
      <c r="U19" s="31">
        <v>897</v>
      </c>
      <c r="V19" s="28">
        <v>18</v>
      </c>
    </row>
    <row r="20" spans="1:22" x14ac:dyDescent="0.3">
      <c r="A20" s="20" t="s">
        <v>73</v>
      </c>
      <c r="B20" s="21">
        <v>3.9</v>
      </c>
      <c r="C20" s="21">
        <v>79500</v>
      </c>
      <c r="D20" s="22">
        <v>19</v>
      </c>
      <c r="E20" s="17"/>
      <c r="F20" s="17"/>
      <c r="G20" s="17"/>
      <c r="H20" s="23" t="s">
        <v>32</v>
      </c>
      <c r="I20" s="24">
        <v>0.79</v>
      </c>
      <c r="J20" s="22">
        <v>19</v>
      </c>
      <c r="K20" s="17"/>
      <c r="L20" s="17"/>
      <c r="M20" s="17"/>
      <c r="N20" s="23" t="s">
        <v>43</v>
      </c>
      <c r="O20" s="25">
        <v>102</v>
      </c>
      <c r="P20" s="22">
        <v>19</v>
      </c>
      <c r="Q20" s="17"/>
      <c r="R20" s="17"/>
      <c r="S20" s="17"/>
      <c r="T20" s="23" t="s">
        <v>19</v>
      </c>
      <c r="U20" s="25">
        <v>908</v>
      </c>
      <c r="V20" s="22">
        <v>19</v>
      </c>
    </row>
    <row r="21" spans="1:22" x14ac:dyDescent="0.3">
      <c r="A21" s="26" t="s">
        <v>16</v>
      </c>
      <c r="B21" s="27">
        <v>3.8</v>
      </c>
      <c r="C21" s="27">
        <v>79000</v>
      </c>
      <c r="D21" s="28">
        <v>20</v>
      </c>
      <c r="E21" s="17"/>
      <c r="F21" s="17"/>
      <c r="G21" s="17"/>
      <c r="H21" s="29" t="s">
        <v>33</v>
      </c>
      <c r="I21" s="30">
        <v>0.63</v>
      </c>
      <c r="J21" s="28">
        <v>20</v>
      </c>
      <c r="K21" s="17"/>
      <c r="L21" s="17"/>
      <c r="M21" s="17"/>
      <c r="N21" s="29" t="s">
        <v>33</v>
      </c>
      <c r="O21" s="31">
        <v>100.6</v>
      </c>
      <c r="P21" s="28">
        <v>20</v>
      </c>
      <c r="Q21" s="17"/>
      <c r="R21" s="17"/>
      <c r="S21" s="17"/>
      <c r="T21" s="29" t="s">
        <v>23</v>
      </c>
      <c r="U21" s="32">
        <v>1026</v>
      </c>
      <c r="V21" s="28">
        <v>20</v>
      </c>
    </row>
    <row r="22" spans="1:22" x14ac:dyDescent="0.3">
      <c r="A22" s="20" t="s">
        <v>38</v>
      </c>
      <c r="B22" s="21">
        <v>3.8</v>
      </c>
      <c r="C22" s="21">
        <v>79000</v>
      </c>
      <c r="D22" s="22">
        <v>21</v>
      </c>
      <c r="E22" s="17"/>
      <c r="F22" s="17"/>
      <c r="G22" s="17"/>
      <c r="H22" s="23" t="s">
        <v>34</v>
      </c>
      <c r="I22" s="24">
        <v>0.57999999999999996</v>
      </c>
      <c r="J22" s="22">
        <v>21</v>
      </c>
      <c r="K22" s="17"/>
      <c r="L22" s="17"/>
      <c r="M22" s="17"/>
      <c r="N22" s="23" t="s">
        <v>40</v>
      </c>
      <c r="O22" s="25">
        <v>100.2</v>
      </c>
      <c r="P22" s="22">
        <v>21</v>
      </c>
      <c r="Q22" s="17"/>
      <c r="R22" s="17"/>
      <c r="S22" s="17"/>
      <c r="T22" s="23" t="s">
        <v>17</v>
      </c>
      <c r="U22" s="33">
        <v>1049</v>
      </c>
      <c r="V22" s="22">
        <v>21</v>
      </c>
    </row>
    <row r="23" spans="1:22" x14ac:dyDescent="0.3">
      <c r="A23" s="26" t="s">
        <v>41</v>
      </c>
      <c r="B23" s="27">
        <v>3.8</v>
      </c>
      <c r="C23" s="27">
        <v>79000</v>
      </c>
      <c r="D23" s="28">
        <v>22</v>
      </c>
      <c r="E23" s="17"/>
      <c r="F23" s="17"/>
      <c r="G23" s="17"/>
      <c r="H23" s="29" t="s">
        <v>35</v>
      </c>
      <c r="I23" s="30">
        <v>0.56000000000000005</v>
      </c>
      <c r="J23" s="28">
        <v>22</v>
      </c>
      <c r="K23" s="17"/>
      <c r="L23" s="17"/>
      <c r="M23" s="17"/>
      <c r="N23" s="29" t="s">
        <v>21</v>
      </c>
      <c r="O23" s="31">
        <v>96.7</v>
      </c>
      <c r="P23" s="28">
        <v>22</v>
      </c>
      <c r="Q23" s="17"/>
      <c r="R23" s="17"/>
      <c r="S23" s="17"/>
      <c r="T23" s="29" t="s">
        <v>16</v>
      </c>
      <c r="U23" s="32">
        <v>1099</v>
      </c>
      <c r="V23" s="28">
        <v>22</v>
      </c>
    </row>
    <row r="24" spans="1:22" x14ac:dyDescent="0.3">
      <c r="A24" s="20" t="s">
        <v>19</v>
      </c>
      <c r="B24" s="21">
        <v>3.7</v>
      </c>
      <c r="C24" s="21">
        <v>78500</v>
      </c>
      <c r="D24" s="22">
        <v>23</v>
      </c>
      <c r="E24" s="17"/>
      <c r="F24" s="17"/>
      <c r="G24" s="17"/>
      <c r="H24" s="23" t="s">
        <v>36</v>
      </c>
      <c r="I24" s="24">
        <v>0.51</v>
      </c>
      <c r="J24" s="22">
        <v>23</v>
      </c>
      <c r="K24" s="17"/>
      <c r="L24" s="17"/>
      <c r="M24" s="17"/>
      <c r="N24" s="23" t="s">
        <v>31</v>
      </c>
      <c r="O24" s="25">
        <v>96.5</v>
      </c>
      <c r="P24" s="22">
        <v>23</v>
      </c>
      <c r="Q24" s="17"/>
      <c r="R24" s="17"/>
      <c r="S24" s="17"/>
      <c r="T24" s="23" t="s">
        <v>28</v>
      </c>
      <c r="U24" s="33">
        <v>1101</v>
      </c>
      <c r="V24" s="22">
        <v>23</v>
      </c>
    </row>
    <row r="25" spans="1:22" x14ac:dyDescent="0.3">
      <c r="A25" s="26" t="s">
        <v>36</v>
      </c>
      <c r="B25" s="27">
        <v>3.7</v>
      </c>
      <c r="C25" s="27">
        <v>78500</v>
      </c>
      <c r="D25" s="28">
        <v>24</v>
      </c>
      <c r="E25" s="17"/>
      <c r="F25" s="17"/>
      <c r="G25" s="17"/>
      <c r="H25" s="29" t="s">
        <v>37</v>
      </c>
      <c r="I25" s="30">
        <v>0.45</v>
      </c>
      <c r="J25" s="28">
        <v>24</v>
      </c>
      <c r="K25" s="17"/>
      <c r="L25" s="17"/>
      <c r="M25" s="17"/>
      <c r="N25" s="23" t="s">
        <v>42</v>
      </c>
      <c r="O25" s="31">
        <v>95.3</v>
      </c>
      <c r="P25" s="28">
        <v>24</v>
      </c>
      <c r="Q25" s="17"/>
      <c r="R25" s="17"/>
      <c r="S25" s="17"/>
      <c r="T25" s="29" t="s">
        <v>41</v>
      </c>
      <c r="U25" s="32">
        <v>1272</v>
      </c>
      <c r="V25" s="28">
        <v>24</v>
      </c>
    </row>
    <row r="26" spans="1:22" x14ac:dyDescent="0.3">
      <c r="A26" s="20" t="s">
        <v>34</v>
      </c>
      <c r="B26" s="21">
        <v>3.6</v>
      </c>
      <c r="C26" s="21">
        <v>78000</v>
      </c>
      <c r="D26" s="22">
        <v>25</v>
      </c>
      <c r="E26" s="17"/>
      <c r="F26" s="17"/>
      <c r="G26" s="17"/>
      <c r="H26" s="23" t="s">
        <v>38</v>
      </c>
      <c r="I26" s="24">
        <v>0.3</v>
      </c>
      <c r="J26" s="22">
        <v>25</v>
      </c>
      <c r="K26" s="17"/>
      <c r="L26" s="17"/>
      <c r="M26" s="17"/>
      <c r="N26" s="23" t="s">
        <v>38</v>
      </c>
      <c r="O26" s="25">
        <v>94.8</v>
      </c>
      <c r="P26" s="22">
        <v>25</v>
      </c>
      <c r="Q26" s="17"/>
      <c r="R26" s="17"/>
      <c r="S26" s="17"/>
      <c r="T26" s="23" t="s">
        <v>39</v>
      </c>
      <c r="U26" s="33">
        <v>1332</v>
      </c>
      <c r="V26" s="22">
        <v>25</v>
      </c>
    </row>
    <row r="27" spans="1:22" x14ac:dyDescent="0.3">
      <c r="A27" s="26" t="s">
        <v>15</v>
      </c>
      <c r="B27" s="27">
        <v>3.5</v>
      </c>
      <c r="C27" s="27">
        <v>77500</v>
      </c>
      <c r="D27" s="28">
        <v>26</v>
      </c>
      <c r="E27" s="17"/>
      <c r="F27" s="17"/>
      <c r="G27" s="17"/>
      <c r="H27" s="29" t="s">
        <v>39</v>
      </c>
      <c r="I27" s="30">
        <v>0.23</v>
      </c>
      <c r="J27" s="28">
        <v>26</v>
      </c>
      <c r="K27" s="17"/>
      <c r="L27" s="17"/>
      <c r="M27" s="17"/>
      <c r="N27" s="29" t="s">
        <v>41</v>
      </c>
      <c r="O27" s="31">
        <v>93.5</v>
      </c>
      <c r="P27" s="28">
        <v>26</v>
      </c>
      <c r="Q27" s="17"/>
      <c r="R27" s="17"/>
      <c r="S27" s="17"/>
      <c r="T27" s="29" t="s">
        <v>24</v>
      </c>
      <c r="U27" s="32">
        <v>1433</v>
      </c>
      <c r="V27" s="28">
        <v>26</v>
      </c>
    </row>
    <row r="28" spans="1:22" x14ac:dyDescent="0.3">
      <c r="A28" s="20" t="s">
        <v>39</v>
      </c>
      <c r="B28" s="21">
        <v>3.5</v>
      </c>
      <c r="C28" s="21">
        <v>77500</v>
      </c>
      <c r="D28" s="22">
        <v>27</v>
      </c>
      <c r="E28" s="17"/>
      <c r="F28" s="17"/>
      <c r="G28" s="17"/>
      <c r="H28" s="23" t="s">
        <v>40</v>
      </c>
      <c r="I28" s="24">
        <v>0.22</v>
      </c>
      <c r="J28" s="22">
        <v>27</v>
      </c>
      <c r="K28" s="17"/>
      <c r="L28" s="17"/>
      <c r="M28" s="17"/>
      <c r="N28" s="23" t="s">
        <v>34</v>
      </c>
      <c r="O28" s="25">
        <v>92</v>
      </c>
      <c r="P28" s="22">
        <v>27</v>
      </c>
      <c r="Q28" s="17"/>
      <c r="R28" s="17"/>
      <c r="S28" s="17"/>
      <c r="T28" s="23" t="s">
        <v>29</v>
      </c>
      <c r="U28" s="33">
        <v>1517</v>
      </c>
      <c r="V28" s="22">
        <v>27</v>
      </c>
    </row>
    <row r="29" spans="1:22" x14ac:dyDescent="0.3">
      <c r="A29" s="26" t="s">
        <v>31</v>
      </c>
      <c r="B29" s="27">
        <v>3.4</v>
      </c>
      <c r="C29" s="27">
        <v>77000</v>
      </c>
      <c r="D29" s="28">
        <v>28</v>
      </c>
      <c r="E29" s="17"/>
      <c r="F29" s="17"/>
      <c r="G29" s="17"/>
      <c r="H29" s="29" t="s">
        <v>41</v>
      </c>
      <c r="I29" s="30">
        <v>0.22</v>
      </c>
      <c r="J29" s="28">
        <v>28</v>
      </c>
      <c r="K29" s="17"/>
      <c r="L29" s="17"/>
      <c r="M29" s="17"/>
      <c r="N29" s="29" t="s">
        <v>39</v>
      </c>
      <c r="O29" s="31">
        <v>92</v>
      </c>
      <c r="P29" s="28">
        <v>28</v>
      </c>
      <c r="Q29" s="17"/>
      <c r="R29" s="17"/>
      <c r="S29" s="17"/>
      <c r="T29" s="29" t="s">
        <v>38</v>
      </c>
      <c r="U29" s="32">
        <v>1590</v>
      </c>
      <c r="V29" s="28">
        <v>28</v>
      </c>
    </row>
    <row r="30" spans="1:22" x14ac:dyDescent="0.3">
      <c r="A30" s="20" t="s">
        <v>29</v>
      </c>
      <c r="B30" s="21">
        <v>3.2</v>
      </c>
      <c r="C30" s="21">
        <v>76000</v>
      </c>
      <c r="D30" s="22">
        <v>29</v>
      </c>
      <c r="E30" s="17"/>
      <c r="F30" s="17"/>
      <c r="G30" s="17"/>
      <c r="H30" s="23" t="s">
        <v>42</v>
      </c>
      <c r="I30" s="24">
        <v>0.21</v>
      </c>
      <c r="J30" s="22">
        <v>29</v>
      </c>
      <c r="K30" s="17"/>
      <c r="L30" s="17"/>
      <c r="M30" s="17"/>
      <c r="N30" s="23" t="s">
        <v>36</v>
      </c>
      <c r="O30" s="25">
        <v>89.7</v>
      </c>
      <c r="P30" s="22">
        <v>29</v>
      </c>
      <c r="Q30" s="17"/>
      <c r="R30" s="17"/>
      <c r="S30" s="17"/>
      <c r="T30" s="23" t="s">
        <v>31</v>
      </c>
      <c r="U30" s="33">
        <v>1800</v>
      </c>
      <c r="V30" s="22">
        <v>29</v>
      </c>
    </row>
    <row r="31" spans="1:22" x14ac:dyDescent="0.3">
      <c r="A31" s="26" t="s">
        <v>21</v>
      </c>
      <c r="B31" s="27">
        <v>2.8</v>
      </c>
      <c r="C31" s="27">
        <v>74000</v>
      </c>
      <c r="D31" s="28">
        <v>30</v>
      </c>
      <c r="E31" s="17"/>
      <c r="F31" s="17"/>
      <c r="G31" s="17"/>
      <c r="H31" s="29" t="s">
        <v>43</v>
      </c>
      <c r="I31" s="30">
        <v>0.06</v>
      </c>
      <c r="J31" s="28">
        <v>30</v>
      </c>
      <c r="K31" s="17"/>
      <c r="L31" s="17"/>
      <c r="M31" s="17"/>
      <c r="N31" s="29" t="s">
        <v>29</v>
      </c>
      <c r="O31" s="31">
        <v>89.4</v>
      </c>
      <c r="P31" s="28">
        <v>30</v>
      </c>
      <c r="Q31" s="17"/>
      <c r="R31" s="17"/>
      <c r="S31" s="17"/>
      <c r="T31" s="29" t="s">
        <v>21</v>
      </c>
      <c r="U31" s="32">
        <v>2007</v>
      </c>
      <c r="V31" s="28">
        <v>30</v>
      </c>
    </row>
    <row r="32" spans="1:22" x14ac:dyDescent="0.3">
      <c r="A32" s="17"/>
      <c r="B32" s="17"/>
      <c r="C32" s="17"/>
      <c r="D32" s="17"/>
      <c r="E32" s="17"/>
      <c r="F32" s="17"/>
      <c r="G32" s="17"/>
      <c r="H32" s="17"/>
      <c r="I32" s="17"/>
      <c r="J32" s="17"/>
      <c r="K32" s="17"/>
      <c r="L32" s="17"/>
      <c r="M32" s="17"/>
      <c r="N32" s="17"/>
      <c r="O32" s="17"/>
      <c r="P32" s="17"/>
      <c r="Q32" s="17"/>
      <c r="R32" s="17"/>
      <c r="S32" s="17"/>
      <c r="T32" s="17"/>
      <c r="U32" s="17"/>
      <c r="V32" s="17"/>
    </row>
    <row r="33" spans="1:22" x14ac:dyDescent="0.3">
      <c r="A33" s="17"/>
      <c r="B33" s="17"/>
      <c r="C33" s="17"/>
      <c r="D33" s="17"/>
      <c r="E33" s="17"/>
      <c r="F33" s="17"/>
      <c r="G33" s="17"/>
      <c r="H33" s="17"/>
      <c r="I33" s="17"/>
      <c r="J33" s="17"/>
      <c r="K33" s="17"/>
      <c r="L33" s="17"/>
      <c r="M33" s="17"/>
      <c r="N33" s="17"/>
      <c r="O33" s="17"/>
      <c r="P33" s="17"/>
      <c r="Q33" s="17"/>
      <c r="R33" s="17"/>
      <c r="S33" s="17"/>
      <c r="T33" s="17"/>
      <c r="U33" s="17"/>
      <c r="V33" s="17"/>
    </row>
    <row r="34" spans="1:22" x14ac:dyDescent="0.3">
      <c r="A34" s="17"/>
      <c r="B34" s="17"/>
      <c r="C34" s="17"/>
      <c r="D34" s="17"/>
      <c r="E34" s="17"/>
      <c r="F34" s="17"/>
      <c r="G34" s="17"/>
      <c r="H34" s="17"/>
      <c r="I34" s="17"/>
      <c r="J34" s="17"/>
      <c r="K34" s="17"/>
      <c r="L34" s="17"/>
      <c r="M34" s="17"/>
      <c r="N34" s="17"/>
      <c r="O34" s="17"/>
      <c r="P34" s="17"/>
      <c r="Q34" s="17"/>
      <c r="R34" s="17"/>
      <c r="S34" s="17"/>
      <c r="T34" s="17"/>
      <c r="U34" s="17"/>
      <c r="V34" s="1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2F0A-8123-412E-80BF-6AE4D24F5DAD}">
  <sheetPr codeName="Sheet4"/>
  <dimension ref="C1:AH10"/>
  <sheetViews>
    <sheetView workbookViewId="0">
      <selection activeCell="D4" sqref="D4"/>
    </sheetView>
  </sheetViews>
  <sheetFormatPr defaultRowHeight="14.4" x14ac:dyDescent="0.3"/>
  <cols>
    <col min="1" max="1" width="26.21875" customWidth="1"/>
    <col min="2" max="2" width="24.44140625" customWidth="1"/>
    <col min="3" max="3" width="24.21875" bestFit="1" customWidth="1"/>
    <col min="4" max="33" width="19" bestFit="1" customWidth="1"/>
    <col min="34" max="34" width="10.33203125" bestFit="1" customWidth="1"/>
  </cols>
  <sheetData>
    <row r="1" spans="3:34" x14ac:dyDescent="0.3">
      <c r="D1" s="8" t="s">
        <v>44</v>
      </c>
      <c r="E1" t="s">
        <v>45</v>
      </c>
    </row>
    <row r="2" spans="3:34" x14ac:dyDescent="0.3">
      <c r="D2" s="9"/>
    </row>
    <row r="5" spans="3:34" x14ac:dyDescent="0.3">
      <c r="D5" s="7" t="s">
        <v>0</v>
      </c>
    </row>
    <row r="6" spans="3:34" x14ac:dyDescent="0.3">
      <c r="C6" s="7" t="s">
        <v>59</v>
      </c>
      <c r="D6" t="s">
        <v>24</v>
      </c>
      <c r="E6" t="s">
        <v>20</v>
      </c>
      <c r="F6" t="s">
        <v>16</v>
      </c>
      <c r="G6" t="s">
        <v>36</v>
      </c>
      <c r="H6" t="s">
        <v>29</v>
      </c>
      <c r="I6" t="s">
        <v>22</v>
      </c>
      <c r="J6" t="s">
        <v>32</v>
      </c>
      <c r="K6" t="s">
        <v>21</v>
      </c>
      <c r="L6" t="s">
        <v>23</v>
      </c>
      <c r="M6" t="s">
        <v>41</v>
      </c>
      <c r="N6" t="s">
        <v>38</v>
      </c>
      <c r="O6" t="s">
        <v>15</v>
      </c>
      <c r="P6" t="s">
        <v>25</v>
      </c>
      <c r="Q6" t="s">
        <v>39</v>
      </c>
      <c r="R6" t="s">
        <v>28</v>
      </c>
      <c r="S6" t="s">
        <v>14</v>
      </c>
      <c r="T6" t="s">
        <v>58</v>
      </c>
      <c r="U6" t="s">
        <v>40</v>
      </c>
      <c r="V6" t="s">
        <v>19</v>
      </c>
      <c r="W6" t="s">
        <v>27</v>
      </c>
      <c r="X6" t="s">
        <v>34</v>
      </c>
      <c r="Y6" t="s">
        <v>35</v>
      </c>
      <c r="Z6" t="s">
        <v>37</v>
      </c>
      <c r="AA6" t="s">
        <v>42</v>
      </c>
      <c r="AB6" t="s">
        <v>30</v>
      </c>
      <c r="AC6" t="s">
        <v>18</v>
      </c>
      <c r="AD6" t="s">
        <v>26</v>
      </c>
      <c r="AE6" t="s">
        <v>31</v>
      </c>
      <c r="AF6" t="s">
        <v>33</v>
      </c>
      <c r="AG6" t="s">
        <v>17</v>
      </c>
      <c r="AH6" t="s">
        <v>50</v>
      </c>
    </row>
    <row r="7" spans="3:34" x14ac:dyDescent="0.3">
      <c r="C7" t="s">
        <v>46</v>
      </c>
      <c r="D7">
        <v>8</v>
      </c>
      <c r="E7">
        <v>6.25</v>
      </c>
      <c r="F7">
        <v>10.25</v>
      </c>
      <c r="G7">
        <v>6.75</v>
      </c>
      <c r="H7">
        <v>7.75</v>
      </c>
      <c r="I7">
        <v>8.25</v>
      </c>
      <c r="J7">
        <v>8</v>
      </c>
      <c r="K7">
        <v>6</v>
      </c>
      <c r="L7">
        <v>8.25</v>
      </c>
      <c r="M7">
        <v>7</v>
      </c>
      <c r="N7">
        <v>7.85</v>
      </c>
      <c r="O7">
        <v>8.75</v>
      </c>
      <c r="P7">
        <v>7</v>
      </c>
      <c r="Q7">
        <v>5.5</v>
      </c>
      <c r="R7">
        <v>7.7750000000000004</v>
      </c>
      <c r="S7">
        <v>8.875</v>
      </c>
      <c r="T7">
        <v>6.3</v>
      </c>
      <c r="U7">
        <v>7</v>
      </c>
      <c r="V7">
        <v>8</v>
      </c>
      <c r="W7">
        <v>9.3000000000000007</v>
      </c>
      <c r="X7">
        <v>7</v>
      </c>
      <c r="Y7">
        <v>0</v>
      </c>
      <c r="Z7">
        <v>8.25</v>
      </c>
      <c r="AA7">
        <v>8.125</v>
      </c>
      <c r="AB7">
        <v>8.25</v>
      </c>
      <c r="AC7">
        <v>8.5</v>
      </c>
      <c r="AD7">
        <v>9.5</v>
      </c>
      <c r="AE7">
        <v>8.4909999999999997</v>
      </c>
      <c r="AF7">
        <v>7.5</v>
      </c>
      <c r="AG7">
        <v>6</v>
      </c>
      <c r="AH7">
        <v>7.4822000000000006</v>
      </c>
    </row>
    <row r="8" spans="3:34" x14ac:dyDescent="0.3">
      <c r="C8" t="s">
        <v>47</v>
      </c>
      <c r="D8">
        <v>1433</v>
      </c>
      <c r="E8">
        <v>622</v>
      </c>
      <c r="F8">
        <v>1099</v>
      </c>
      <c r="G8">
        <v>897</v>
      </c>
      <c r="H8">
        <v>1517</v>
      </c>
      <c r="I8">
        <v>762</v>
      </c>
      <c r="J8">
        <v>730</v>
      </c>
      <c r="K8">
        <v>2007</v>
      </c>
      <c r="L8">
        <v>1026</v>
      </c>
      <c r="M8">
        <v>1272</v>
      </c>
      <c r="N8">
        <v>1590</v>
      </c>
      <c r="O8">
        <v>748</v>
      </c>
      <c r="P8">
        <v>629</v>
      </c>
      <c r="Q8">
        <v>1332</v>
      </c>
      <c r="R8">
        <v>1101</v>
      </c>
      <c r="S8">
        <v>540</v>
      </c>
      <c r="T8">
        <v>146</v>
      </c>
      <c r="U8">
        <v>860</v>
      </c>
      <c r="V8">
        <v>908</v>
      </c>
      <c r="W8">
        <v>733</v>
      </c>
      <c r="X8">
        <v>610</v>
      </c>
      <c r="Y8">
        <v>522</v>
      </c>
      <c r="Z8">
        <v>712</v>
      </c>
      <c r="AA8">
        <v>708</v>
      </c>
      <c r="AB8">
        <v>369</v>
      </c>
      <c r="AC8">
        <v>669</v>
      </c>
      <c r="AD8">
        <v>620</v>
      </c>
      <c r="AE8">
        <v>1800</v>
      </c>
      <c r="AF8">
        <v>428</v>
      </c>
      <c r="AG8">
        <v>1049</v>
      </c>
      <c r="AH8">
        <v>27439</v>
      </c>
    </row>
    <row r="9" spans="3:34" x14ac:dyDescent="0.3">
      <c r="C9" t="s">
        <v>48</v>
      </c>
      <c r="D9">
        <v>102.4</v>
      </c>
      <c r="E9">
        <v>159.1</v>
      </c>
      <c r="F9">
        <v>119.5</v>
      </c>
      <c r="G9">
        <v>89.7</v>
      </c>
      <c r="H9">
        <v>89.4</v>
      </c>
      <c r="I9">
        <v>107</v>
      </c>
      <c r="J9">
        <v>128.69999999999999</v>
      </c>
      <c r="K9">
        <v>96.7</v>
      </c>
      <c r="L9">
        <v>103</v>
      </c>
      <c r="M9">
        <v>93.5</v>
      </c>
      <c r="N9">
        <v>94.8</v>
      </c>
      <c r="O9">
        <v>149</v>
      </c>
      <c r="P9">
        <v>122</v>
      </c>
      <c r="Q9">
        <v>92</v>
      </c>
      <c r="R9">
        <v>109</v>
      </c>
      <c r="S9">
        <v>168.6</v>
      </c>
      <c r="T9">
        <v>102</v>
      </c>
      <c r="U9">
        <v>100.2</v>
      </c>
      <c r="V9">
        <v>110</v>
      </c>
      <c r="W9">
        <v>113</v>
      </c>
      <c r="X9">
        <v>92</v>
      </c>
      <c r="Y9">
        <v>125.5</v>
      </c>
      <c r="Z9">
        <v>118.5</v>
      </c>
      <c r="AA9">
        <v>95.3</v>
      </c>
      <c r="AB9">
        <v>144.6</v>
      </c>
      <c r="AC9">
        <v>177.6</v>
      </c>
      <c r="AD9">
        <v>152.4</v>
      </c>
      <c r="AE9">
        <v>96.5</v>
      </c>
      <c r="AF9">
        <v>100.6</v>
      </c>
      <c r="AG9">
        <v>155</v>
      </c>
      <c r="AH9">
        <v>3507.6</v>
      </c>
    </row>
    <row r="10" spans="3:34" x14ac:dyDescent="0.3">
      <c r="C10" t="s">
        <v>49</v>
      </c>
      <c r="D10">
        <v>4.2</v>
      </c>
      <c r="E10">
        <v>4.3</v>
      </c>
      <c r="F10">
        <v>3.8</v>
      </c>
      <c r="G10">
        <v>3.7</v>
      </c>
      <c r="H10">
        <v>3.2</v>
      </c>
      <c r="I10">
        <v>4.0999999999999996</v>
      </c>
      <c r="J10">
        <v>4.3</v>
      </c>
      <c r="K10">
        <v>2.8</v>
      </c>
      <c r="L10">
        <v>4</v>
      </c>
      <c r="M10">
        <v>3.8</v>
      </c>
      <c r="N10">
        <v>3.8</v>
      </c>
      <c r="O10">
        <v>3.5</v>
      </c>
      <c r="P10">
        <v>4</v>
      </c>
      <c r="Q10">
        <v>3.5</v>
      </c>
      <c r="R10">
        <v>4.2</v>
      </c>
      <c r="S10">
        <v>4</v>
      </c>
      <c r="T10">
        <v>3.9</v>
      </c>
      <c r="U10">
        <v>4.0999999999999996</v>
      </c>
      <c r="V10">
        <v>3.7</v>
      </c>
      <c r="W10">
        <v>4</v>
      </c>
      <c r="X10">
        <v>3.6</v>
      </c>
      <c r="Y10">
        <v>4.2</v>
      </c>
      <c r="Z10">
        <v>3.9</v>
      </c>
      <c r="AA10">
        <v>4</v>
      </c>
      <c r="AB10">
        <v>4.2</v>
      </c>
      <c r="AC10">
        <v>4.5</v>
      </c>
      <c r="AD10">
        <v>4.5</v>
      </c>
      <c r="AE10">
        <v>3.4</v>
      </c>
      <c r="AF10">
        <v>4</v>
      </c>
      <c r="AG10">
        <v>4.2</v>
      </c>
      <c r="AH10">
        <v>117.4</v>
      </c>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3EEF91C-0D09-4774-A787-099172E48B3B}">
          <x14:formula1>
            <xm:f>Dataset!$B$1:$N$1</xm:f>
          </x14:formula1>
          <xm:sqref>D2</xm:sqref>
        </x14:dataValidation>
        <x14:dataValidation type="list" allowBlank="1" showInputMessage="1" showErrorMessage="1" xr:uid="{63686C28-FEF5-4154-9B86-91AAAFEFE3D4}">
          <x14:formula1>
            <xm:f>Dataset!$A$2:$A$31</xm:f>
          </x14:formula1>
          <xm:sqref>E2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47</vt:i4>
      </vt:variant>
    </vt:vector>
  </HeadingPairs>
  <TitlesOfParts>
    <vt:vector size="60" baseType="lpstr">
      <vt:lpstr>Dataset</vt:lpstr>
      <vt:lpstr>Normalized Dataset</vt:lpstr>
      <vt:lpstr>Weighted Scores</vt:lpstr>
      <vt:lpstr>City Dashboard</vt:lpstr>
      <vt:lpstr>Sheet2</vt:lpstr>
      <vt:lpstr>Sheet1</vt:lpstr>
      <vt:lpstr>Sheet3</vt:lpstr>
      <vt:lpstr>GraphPivotData</vt:lpstr>
      <vt:lpstr>TaxPivotData</vt:lpstr>
      <vt:lpstr>Information</vt:lpstr>
      <vt:lpstr>top 5 Data</vt:lpstr>
      <vt:lpstr>Macros</vt:lpstr>
      <vt:lpstr>Dashboard</vt:lpstr>
      <vt:lpstr>CityDropdown</vt:lpstr>
      <vt:lpstr>'Normalized Dataset'!DataRange_Atlanta</vt:lpstr>
      <vt:lpstr>'Weighted Scores'!DataRange_Atlanta</vt:lpstr>
      <vt:lpstr>'Normalized Dataset'!DataRange_Boston</vt:lpstr>
      <vt:lpstr>'Weighted Scores'!DataRange_Boston</vt:lpstr>
      <vt:lpstr>'Normalized Dataset'!DataRange_Chicago</vt:lpstr>
      <vt:lpstr>'Weighted Scores'!DataRange_Chicago</vt:lpstr>
      <vt:lpstr>'Normalized Dataset'!DataRange_Cincinnati</vt:lpstr>
      <vt:lpstr>'Weighted Scores'!DataRange_Cincinnati</vt:lpstr>
      <vt:lpstr>'Normalized Dataset'!DataRange_Cleveland</vt:lpstr>
      <vt:lpstr>'Weighted Scores'!DataRange_Cleveland</vt:lpstr>
      <vt:lpstr>'Normalized Dataset'!DataRange_Denver</vt:lpstr>
      <vt:lpstr>'Weighted Scores'!DataRange_Denver</vt:lpstr>
      <vt:lpstr>'Normalized Dataset'!DataRange_Detroit</vt:lpstr>
      <vt:lpstr>'Weighted Scores'!DataRange_Detroit</vt:lpstr>
      <vt:lpstr>'Normalized Dataset'!DataRange_Houston</vt:lpstr>
      <vt:lpstr>'Weighted Scores'!DataRange_Houston</vt:lpstr>
      <vt:lpstr>'Normalized Dataset'!DataRange_Indianapolis</vt:lpstr>
      <vt:lpstr>'Weighted Scores'!DataRange_Indianapolis</vt:lpstr>
      <vt:lpstr>'Normalized Dataset'!DataRange_Kansas_City</vt:lpstr>
      <vt:lpstr>'Weighted Scores'!DataRange_Kansas_City</vt:lpstr>
      <vt:lpstr>'Normalized Dataset'!DataRange_Los_Angeles</vt:lpstr>
      <vt:lpstr>'Weighted Scores'!DataRange_Los_Angeles</vt:lpstr>
      <vt:lpstr>'Normalized Dataset'!DataRange_Milwaukee</vt:lpstr>
      <vt:lpstr>'Weighted Scores'!DataRange_Milwaukee</vt:lpstr>
      <vt:lpstr>'Normalized Dataset'!DataRange_New_York</vt:lpstr>
      <vt:lpstr>'Weighted Scores'!DataRange_New_York</vt:lpstr>
      <vt:lpstr>'Normalized Dataset'!DataRange_Orlando</vt:lpstr>
      <vt:lpstr>'Weighted Scores'!DataRange_Orlando</vt:lpstr>
      <vt:lpstr>'Normalized Dataset'!DataRange_Philadelphia</vt:lpstr>
      <vt:lpstr>'Weighted Scores'!DataRange_Philadelphia</vt:lpstr>
      <vt:lpstr>'Normalized Dataset'!DataRange_Phoenix</vt:lpstr>
      <vt:lpstr>'Weighted Scores'!DataRange_Phoenix</vt:lpstr>
      <vt:lpstr>'Normalized Dataset'!DataRange_Pittsburgh</vt:lpstr>
      <vt:lpstr>'Weighted Scores'!DataRange_Pittsburgh</vt:lpstr>
      <vt:lpstr>'Normalized Dataset'!DataRange_Sacramento</vt:lpstr>
      <vt:lpstr>'Weighted Scores'!DataRange_Sacramento</vt:lpstr>
      <vt:lpstr>'Normalized Dataset'!DataRange_San_Antonio</vt:lpstr>
      <vt:lpstr>'Weighted Scores'!DataRange_San_Antonio</vt:lpstr>
      <vt:lpstr>'Normalized Dataset'!DataRange_San_Diego</vt:lpstr>
      <vt:lpstr>'Weighted Scores'!DataRange_San_Diego</vt:lpstr>
      <vt:lpstr>'Normalized Dataset'!DataRange_San_Francisco</vt:lpstr>
      <vt:lpstr>'Weighted Scores'!DataRange_San_Francisco</vt:lpstr>
      <vt:lpstr>'Normalized Dataset'!DataRange_St._Louis</vt:lpstr>
      <vt:lpstr>'Weighted Scores'!DataRange_St._Louis</vt:lpstr>
      <vt:lpstr>'Normalized Dataset'!DataRange_Washington</vt:lpstr>
      <vt:lpstr>'Weighted Scores'!DataRange_Washington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Abhishek Rawal</dc:creator>
  <cp:keywords/>
  <dc:description/>
  <cp:lastModifiedBy>Varun Panchasara</cp:lastModifiedBy>
  <cp:revision/>
  <cp:lastPrinted>2024-12-09T07:15:23Z</cp:lastPrinted>
  <dcterms:created xsi:type="dcterms:W3CDTF">2024-12-08T22:11:02Z</dcterms:created>
  <dcterms:modified xsi:type="dcterms:W3CDTF">2024-12-17T01:22:11Z</dcterms:modified>
  <cp:category/>
  <cp:contentStatus/>
</cp:coreProperties>
</file>